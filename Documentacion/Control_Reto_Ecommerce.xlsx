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Común" sheetId="2" state="visible" r:id="rId4"/>
    <sheet name="DIW" sheetId="3" state="visible" r:id="rId5"/>
    <sheet name="DCLI" sheetId="4" state="visible" r:id="rId6"/>
    <sheet name="DWES" sheetId="5" state="visible" r:id="rId7"/>
    <sheet name="Despliegue" sheetId="6" state="visible" r:id="rId8"/>
    <sheet name="Sistema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<sst xmlns="http://schemas.openxmlformats.org/spreadsheetml/2006/main" count="505" uniqueCount="175">
  <si>
    <t xml:space="preserve">Control del reto ecommerce – Manga Ancha</t>
  </si>
  <si>
    <t xml:space="preserve">Se actualiza solo: marca 'Hecho' en cada hoja de asignatura.</t>
  </si>
  <si>
    <t xml:space="preserve">Asignatura</t>
  </si>
  <si>
    <t xml:space="preserve">Hechos</t>
  </si>
  <si>
    <t xml:space="preserve">En curso</t>
  </si>
  <si>
    <t xml:space="preserve">Total apartados</t>
  </si>
  <si>
    <t xml:space="preserve">% completado</t>
  </si>
  <si>
    <t xml:space="preserve">PROGRESO TOTAL</t>
  </si>
  <si>
    <t xml:space="preserve">Común (memoria, anexos, presentación)</t>
  </si>
  <si>
    <t xml:space="preserve">DIW – Diseño de interfaces web</t>
  </si>
  <si>
    <t xml:space="preserve">DCLI – Desarrollo web entorno cliente</t>
  </si>
  <si>
    <t xml:space="preserve">DWES – Desarrollo web entorno servidor</t>
  </si>
  <si>
    <t xml:space="preserve">Despliegue de aplicaciones web</t>
  </si>
  <si>
    <t xml:space="preserve">Sistemas Informáticos</t>
  </si>
  <si>
    <t xml:space="preserve">TOTAL</t>
  </si>
  <si>
    <t xml:space="preserve">Progreso por persona</t>
  </si>
  <si>
    <t xml:space="preserve">Persona</t>
  </si>
  <si>
    <t xml:space="preserve">Asignados</t>
  </si>
  <si>
    <t xml:space="preserve">Número 1</t>
  </si>
  <si>
    <t xml:space="preserve">Número 2</t>
  </si>
  <si>
    <t xml:space="preserve">Número 3</t>
  </si>
  <si>
    <t xml:space="preserve">Los apartados asignados a 'Todos' no cuentan en esta tabla.</t>
  </si>
  <si>
    <t xml:space="preserve">Cómo se usa</t>
  </si>
  <si>
    <t xml:space="preserve">1. Entrad en la hoja de cada asignatura y cambiad la columna Estado (Pendiente / En curso / Hecho).</t>
  </si>
  <si>
    <t xml:space="preserve">2. Solo cuenta como completado lo que está en 'Hecho'. 'En curso' se muestra pero no suma.</t>
  </si>
  <si>
    <t xml:space="preserve">3. El reparto de Responsable (Número 1, 2, 3) es una propuesta: cambiadlo con el desplegable.</t>
  </si>
  <si>
    <t xml:space="preserve">4. Podéis añadir filas debajo de la última de cada hoja (hasta la fila 80) y se cuentan solas.</t>
  </si>
  <si>
    <t xml:space="preserve">5. Marcados como 'Hecho' de entrada: lo que el grupo dijo tener (boceto y documentación de investigación). Cambiadlo si no es así.</t>
  </si>
  <si>
    <t xml:space="preserve">Progreso:</t>
  </si>
  <si>
    <t xml:space="preserve">Nº</t>
  </si>
  <si>
    <t xml:space="preserve">Bloque</t>
  </si>
  <si>
    <t xml:space="preserve">Requisito</t>
  </si>
  <si>
    <t xml:space="preserve">Responsable</t>
  </si>
  <si>
    <t xml:space="preserve">Estado</t>
  </si>
  <si>
    <t xml:space="preserve">Notas</t>
  </si>
  <si>
    <t xml:space="preserve">Organización</t>
  </si>
  <si>
    <t xml:space="preserve">Panel Scrum con tareas, tiempos y personas</t>
  </si>
  <si>
    <t xml:space="preserve">Pendiente</t>
  </si>
  <si>
    <t xml:space="preserve">Acta de reunión inicial cada día de trabajo</t>
  </si>
  <si>
    <t xml:space="preserve">Todos</t>
  </si>
  <si>
    <t xml:space="preserve">Formulario de seguimiento semanal</t>
  </si>
  <si>
    <t xml:space="preserve">Memoria</t>
  </si>
  <si>
    <t xml:space="preserve">Portada + índice</t>
  </si>
  <si>
    <t xml:space="preserve">Introducción: quiénes sois y qué habéis hecho</t>
  </si>
  <si>
    <t xml:space="preserve">Documentación de cada asignatura</t>
  </si>
  <si>
    <t xml:space="preserve">Conclusiones: cómo ha transcurrido el reto</t>
  </si>
  <si>
    <t xml:space="preserve">Anexos</t>
  </si>
  <si>
    <t xml:space="preserve">Anexo 1: Contrato de equipo</t>
  </si>
  <si>
    <t xml:space="preserve">Anexo 2: Parámetros</t>
  </si>
  <si>
    <t xml:space="preserve">Anexo 3: Propuestas y selección de la propuesta definitiva</t>
  </si>
  <si>
    <t xml:space="preserve">Anexo 4: Planificación</t>
  </si>
  <si>
    <t xml:space="preserve">Anexo 5: Puntos de control</t>
  </si>
  <si>
    <t xml:space="preserve">Presentación</t>
  </si>
  <si>
    <t xml:space="preserve">Presentación de 10-15 minutos preparada</t>
  </si>
  <si>
    <t xml:space="preserve">Todos los integrantes participan de forma equilibrada</t>
  </si>
  <si>
    <t xml:space="preserve">Centrada en los resultados y el desarrollo del reto</t>
  </si>
  <si>
    <t xml:space="preserve">Preparados para resolver dudas de profesores y compañeros</t>
  </si>
  <si>
    <t xml:space="preserve">Documento semana 1</t>
  </si>
  <si>
    <t xml:space="preserve">Quiénes somos: nombre, sector y tamaño de la empresa</t>
  </si>
  <si>
    <t xml:space="preserve">Hecho</t>
  </si>
  <si>
    <t xml:space="preserve">Manga Ancha, tienda de manga pequeña</t>
  </si>
  <si>
    <t xml:space="preserve">Objetivo de la página</t>
  </si>
  <si>
    <t xml:space="preserve">Revisar que esté escrito en el documento</t>
  </si>
  <si>
    <t xml:space="preserve">Clientes potenciales con datos reales y link</t>
  </si>
  <si>
    <t xml:space="preserve">Revisar que haya datos reales con enlace</t>
  </si>
  <si>
    <t xml:space="preserve">Mínimo 3 perfiles de usuario (buyer persona)</t>
  </si>
  <si>
    <t xml:space="preserve">Iker, Laura y Javier</t>
  </si>
  <si>
    <t xml:space="preserve">Webs del sector con links, ideas extraídas y justificación</t>
  </si>
  <si>
    <t xml:space="preserve">Akira Comics y Norma Comics</t>
  </si>
  <si>
    <t xml:space="preserve">Boceto</t>
  </si>
  <si>
    <t xml:space="preserve">Boceto funcional y de estilos hecho con una herramienta</t>
  </si>
  <si>
    <t xml:space="preserve">Mínimo 3 páginas con elementos visuales e interactivos</t>
  </si>
  <si>
    <t xml:space="preserve">Boceto aceptado por el profesor</t>
  </si>
  <si>
    <t xml:space="preserve">Planning con SCRUM (horas, orden y personas)</t>
  </si>
  <si>
    <t xml:space="preserve">Cronograma con el responsable de cada acción</t>
  </si>
  <si>
    <t xml:space="preserve">Contenidos mínimos</t>
  </si>
  <si>
    <t xml:space="preserve">Estilo propio con CSS adecuado al contenido</t>
  </si>
  <si>
    <t xml:space="preserve">Esqueleto HTML variado y adecuado</t>
  </si>
  <si>
    <t xml:space="preserve">Responsive: móvil, tablet y ordenador</t>
  </si>
  <si>
    <t xml:space="preserve">Contenido multimedia: imagen y vídeo</t>
  </si>
  <si>
    <t xml:space="preserve">Protección de datos y material de terceros</t>
  </si>
  <si>
    <t xml:space="preserve">Funciona en distintos navegadores</t>
  </si>
  <si>
    <t xml:space="preserve">Estilo homogéneo en toda la web</t>
  </si>
  <si>
    <t xml:space="preserve">Uso de Flex</t>
  </si>
  <si>
    <t xml:space="preserve">Uso de Grid</t>
  </si>
  <si>
    <t xml:space="preserve">Uso de Media Query</t>
  </si>
  <si>
    <t xml:space="preserve">Contenido organizado y bien estructurado</t>
  </si>
  <si>
    <t xml:space="preserve">CSS estructurado, claro y simple, con pseudoclases</t>
  </si>
  <si>
    <t xml:space="preserve">Pocos id y pocas clases diferentes</t>
  </si>
  <si>
    <t xml:space="preserve">HTML limpio y claro, con el menor número posible de id</t>
  </si>
  <si>
    <t xml:space="preserve">General</t>
  </si>
  <si>
    <t xml:space="preserve">Documentación de la parte cliente</t>
  </si>
  <si>
    <t xml:space="preserve">Estructura de carpetas documentada</t>
  </si>
  <si>
    <t xml:space="preserve">Mínimo 3 páginas (index, consultas, actualizaciones)</t>
  </si>
  <si>
    <t xml:space="preserve">Boceto y SCRUM adaptados a los requisitos del módulo</t>
  </si>
  <si>
    <t xml:space="preserve">JavaScript DOM</t>
  </si>
  <si>
    <t xml:space="preserve">Código que captura y utiliza eventos</t>
  </si>
  <si>
    <t xml:space="preserve">Cambiar el aspecto de la página (tamaño de letra, colores)</t>
  </si>
  <si>
    <t xml:space="preserve">Crear, acceder y utilizar elementos dinámicos</t>
  </si>
  <si>
    <t xml:space="preserve">JavaScript código</t>
  </si>
  <si>
    <t xml:space="preserve">Variables, operadores, estructuras de control y arrays</t>
  </si>
  <si>
    <t xml:space="preserve">Funciones correctas y llamadas entre funciones</t>
  </si>
  <si>
    <t xml:space="preserve">Objetos e identificar dónde y cuándo aplicar eventos</t>
  </si>
  <si>
    <t xml:space="preserve">Uso de parámetros</t>
  </si>
  <si>
    <t xml:space="preserve">Control de errores (try/catch)</t>
  </si>
  <si>
    <t xml:space="preserve">Comentarios claros en el código</t>
  </si>
  <si>
    <t xml:space="preserve">Validación y envío de formularios con eventos</t>
  </si>
  <si>
    <t xml:space="preserve">AJAX</t>
  </si>
  <si>
    <t xml:space="preserve">Uso de fetch</t>
  </si>
  <si>
    <t xml:space="preserve">JSON</t>
  </si>
  <si>
    <t xml:space="preserve">Datos cliente-servidor en formato JSON</t>
  </si>
  <si>
    <t xml:space="preserve">Funcionalidad e-commerce</t>
  </si>
  <si>
    <t xml:space="preserve">Mostrar los productos de forma adecuada</t>
  </si>
  <si>
    <t xml:space="preserve">Gestión de compras o pedidos en cliente</t>
  </si>
  <si>
    <t xml:space="preserve">Parte cliente del CRUD con todas las verificaciones</t>
  </si>
  <si>
    <t xml:space="preserve">Calidad</t>
  </si>
  <si>
    <t xml:space="preserve">Código ordenado, con funcionalidades bien separadas</t>
  </si>
  <si>
    <t xml:space="preserve">Código correcto y funcional, sin fallos</t>
  </si>
  <si>
    <t xml:space="preserve">Pautas de accesibilidad y opciones que la mejoren</t>
  </si>
  <si>
    <t xml:space="preserve">Navegación fácil: el usuario siempre encuentra lo que necesita</t>
  </si>
  <si>
    <t xml:space="preserve">Acciones limitadas: no deja hacer lo que no está autorizado</t>
  </si>
  <si>
    <t xml:space="preserve">PHP básico</t>
  </si>
  <si>
    <t xml:space="preserve">Recepción de datos de formularios con $_POST y $_GET</t>
  </si>
  <si>
    <t xml:space="preserve">Sesiones con $_SESSION (usuarios y carrito)</t>
  </si>
  <si>
    <t xml:space="preserve">POO</t>
  </si>
  <si>
    <t xml:space="preserve">Clases Usuario, Producto, Categoría y Pedido</t>
  </si>
  <si>
    <t xml:space="preserve">Atributos, métodos, constructores e instanciación de objetos</t>
  </si>
  <si>
    <t xml:space="preserve">Base de datos</t>
  </si>
  <si>
    <t xml:space="preserve">Diseño de la BD (usuarios, productos, categorias, pedidos)</t>
  </si>
  <si>
    <t xml:space="preserve">Script .sql con estructura y datos de prueba</t>
  </si>
  <si>
    <t xml:space="preserve">Entregable</t>
  </si>
  <si>
    <t xml:space="preserve">Conexión PHP con MySQL/MariaDB</t>
  </si>
  <si>
    <t xml:space="preserve">Consultas del catálogo y guardado de pedidos</t>
  </si>
  <si>
    <t xml:space="preserve">MVC</t>
  </si>
  <si>
    <t xml:space="preserve">Estructura de carpetas MVC</t>
  </si>
  <si>
    <t xml:space="preserve">Modelo: clases que gestionan los datos</t>
  </si>
  <si>
    <t xml:space="preserve">Controlador: procesa peticiones y elige la vista</t>
  </si>
  <si>
    <t xml:space="preserve">Vista: PHP/HTML con el diseño de DIW</t>
  </si>
  <si>
    <t xml:space="preserve">Funcionalidades</t>
  </si>
  <si>
    <t xml:space="preserve">Login y logout con sesiones</t>
  </si>
  <si>
    <t xml:space="preserve">Catálogo dinámico con categorías y productos de la BD</t>
  </si>
  <si>
    <t xml:space="preserve">Carrito: añadir, modificar y eliminar productos</t>
  </si>
  <si>
    <t xml:space="preserve">CRUD de productos: alta, edición y borrado</t>
  </si>
  <si>
    <t xml:space="preserve">Archivo PHP que devuelve JSON para el fetch de DCLI</t>
  </si>
  <si>
    <t xml:space="preserve">Para conectar con DCLI</t>
  </si>
  <si>
    <t xml:space="preserve">Integración</t>
  </si>
  <si>
    <t xml:space="preserve">Backend integrado con el frontend (DIW y DCLI)</t>
  </si>
  <si>
    <t xml:space="preserve">Verificado en el servidor de despliegue y pruebas finales</t>
  </si>
  <si>
    <t xml:space="preserve">Documentación</t>
  </si>
  <si>
    <t xml:space="preserve">Esquema visual o breve descripción del MVC</t>
  </si>
  <si>
    <t xml:space="preserve">Explicación de las clases PHP y sus métodos principales</t>
  </si>
  <si>
    <t xml:space="preserve">Servidor</t>
  </si>
  <si>
    <t xml:space="preserve">Apache Web con módulo PHP en Ubuntu Server (FPCloud)</t>
  </si>
  <si>
    <t xml:space="preserve">Servidor FTP instalado y configurado</t>
  </si>
  <si>
    <t xml:space="preserve">Acceso SSH configurado</t>
  </si>
  <si>
    <t xml:space="preserve">Aplicación web desplegada en la máquina</t>
  </si>
  <si>
    <t xml:space="preserve">Disponible desde fuera por https y desde la red local por http</t>
  </si>
  <si>
    <t xml:space="preserve">Proceso de despliegue, lugar, tecnologías y arquitectura web</t>
  </si>
  <si>
    <t xml:space="preserve">Acceso SSH y copia de una carpeta con scp</t>
  </si>
  <si>
    <t xml:space="preserve">Acceso FTP y copia de una carpeta de la aplicación</t>
  </si>
  <si>
    <t xml:space="preserve">Acceso SFTP y copia de una carpeta de la aplicación</t>
  </si>
  <si>
    <t xml:space="preserve">Scripts</t>
  </si>
  <si>
    <t xml:space="preserve">(Re)instalación automatizada del servidor y las aplicaciones</t>
  </si>
  <si>
    <t xml:space="preserve">Gestión de servicios: comprobar estado y reiniciar</t>
  </si>
  <si>
    <t xml:space="preserve">Seguridad</t>
  </si>
  <si>
    <t xml:space="preserve">Separación de usuarios locales y cuentas de servicios con permisos mínimos</t>
  </si>
  <si>
    <t xml:space="preserve">Endurecimiento de accesos: SSH y permisos de ficheros</t>
  </si>
  <si>
    <t xml:space="preserve">Cortafuegos UFW: solo servicios y puertos necesarios</t>
  </si>
  <si>
    <t xml:space="preserve">Copias</t>
  </si>
  <si>
    <t xml:space="preserve">Copia de seguridad automática de sistema y aplicación</t>
  </si>
  <si>
    <t xml:space="preserve">Recuperación automática de las copias</t>
  </si>
  <si>
    <t xml:space="preserve">Información mínima para gestionar las máquinas</t>
  </si>
  <si>
    <t xml:space="preserve">Diagrama de los elementos del sistema informático</t>
  </si>
  <si>
    <t xml:space="preserve">Scripts explicados y convenientemente comentados</t>
  </si>
  <si>
    <t xml:space="preserve">Configuraciones más importantes de los servicios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</si>
</sst>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990000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36"/>
      <color rgb="FF99000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2"/>
      <color rgb="FF99000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4"/>
      <color rgb="FF990000"/>
      <name val="Arial"/>
      <family val="0"/>
      <charset val="1"/>
    </font>
    <font>
      <i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990000"/>
        <bgColor rgb="FF800000"/>
      </patternFill>
    </fill>
    <fill>
      <patternFill patternType="solid">
        <fgColor rgb="FFF2F2F2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color rgb="FF9C5700"/>
      </font>
      <fill>
        <patternFill>
          <bgColor rgb="FFFFEB9C"/>
        </patternFill>
      </fill>
    </dxf>
    <dxf>
      <font>
        <name val="Arial"/>
        <charset val="1"/>
        <family val="0"/>
        <color rgb="FF990000"/>
      </font>
      <fill>
        <patternFill>
          <bgColor rgb="FFF4CC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0000"/>
      <rgbColor rgb="FF006100"/>
      <rgbColor rgb="FF000080"/>
      <rgbColor rgb="FF808000"/>
      <rgbColor rgb="FF800080"/>
      <rgbColor rgb="FF008080"/>
      <rgbColor rgb="FFBBBBBB"/>
      <rgbColor rgb="FF878787"/>
      <rgbColor rgb="FF9999FF"/>
      <rgbColor rgb="FF993366"/>
      <rgbColor rgb="FFF9F9F9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4CCCC"/>
      <rgbColor rgb="FF4F81BD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% completado por asignatura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Dashboard!E4</c:f>
              <c:strCache>
                <c:ptCount val="1"/>
                <c:pt idx="0">
                  <c:v>% completado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Dashboard!$A$5:$A$10</c:f>
              <c:strCache>
                <c:ptCount val="6"/>
                <c:pt idx="0">
                  <c:v>Común (memoria, anexos, presentación)</c:v>
                </c:pt>
                <c:pt idx="1">
                  <c:v>DIW – Diseño de interfaces web</c:v>
                </c:pt>
                <c:pt idx="2">
                  <c:v>DCLI – Desarrollo web entorno cliente</c:v>
                </c:pt>
                <c:pt idx="3">
                  <c:v>DWES – Desarrollo web entorno servidor</c:v>
                </c:pt>
                <c:pt idx="4">
                  <c:v>Despliegue de aplicaciones web</c:v>
                </c:pt>
                <c:pt idx="5">
                  <c:v>Sistemas Informáticos</c:v>
                </c:pt>
              </c:strCache>
            </c:strRef>
          </c:cat>
          <c:val>
            <c:numRef>
              <c:f>Dashboard!$E$5:$E$10</c:f>
              <c:numCache>
                <c:formatCode>0%</c:formatCode>
                <c:ptCount val="6"/>
                <c:pt idx="0">
                  <c:v>0</c:v>
                </c:pt>
                <c:pt idx="1">
                  <c:v>0.208333333333333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gapWidth val="150"/>
        <c:overlap val="0"/>
        <c:axId val="26647283"/>
        <c:axId val="49382288"/>
      </c:barChart>
      <c:catAx>
        <c:axId val="266472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382288"/>
        <c:crosses val="autoZero"/>
        <c:auto val="1"/>
        <c:lblAlgn val="ctr"/>
        <c:lblOffset val="100"/>
        <c:noMultiLvlLbl val="0"/>
      </c:catAx>
      <c:valAx>
        <c:axId val="49382288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64728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11</xdr:row>
      <xdr:rowOff>100800</xdr:rowOff>
    </xdr:from>
    <xdr:to>
      <xdr:col>15</xdr:col>
      <xdr:colOff>225360</xdr:colOff>
      <xdr:row>26</xdr:row>
      <xdr:rowOff>123120</xdr:rowOff>
    </xdr:to>
    <xdr:graphicFrame>
      <xdr:nvGraphicFramePr>
        <xdr:cNvPr id="0" name="Chart 1"/>
        <xdr:cNvGraphicFramePr/>
      </xdr:nvGraphicFramePr>
      <xdr:xfrm>
        <a:off x="7330320" y="228600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12"/>
    <col collapsed="false" customWidth="true" hidden="false" outlineLevel="0" max="5" min="4" style="0" width="16"/>
    <col collapsed="false" customWidth="true" hidden="false" outlineLevel="0" max="6" min="6" style="0" width="4"/>
    <col collapsed="false" customWidth="true" hidden="false" outlineLevel="0" max="8" min="7" style="0" width="14"/>
  </cols>
  <sheetData>
    <row r="1" customFormat="false" ht="22.0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G4" s="4" t="s">
        <v>7</v>
      </c>
      <c r="H4" s="4"/>
    </row>
    <row r="5" customFormat="false" ht="15" hidden="false" customHeight="false" outlineLevel="0" collapsed="false">
      <c r="A5" s="5" t="s">
        <v>8</v>
      </c>
      <c r="B5" s="6" t="n">
        <f aca="false">COUNTIF(Común!E5:E80,"Hecho")</f>
        <v>0</v>
      </c>
      <c r="C5" s="6" t="n">
        <f aca="false">COUNTIF(Común!E5:E80,"En curso")</f>
        <v>0</v>
      </c>
      <c r="D5" s="6" t="n">
        <f aca="false">COUNTA(Común!C5:C80)</f>
        <v>16</v>
      </c>
      <c r="E5" s="7" t="n">
        <f aca="false">IF(D5=0,0,B5/D5)</f>
        <v>0</v>
      </c>
      <c r="G5" s="8" t="n">
        <f aca="false">E11</f>
        <v>0.0476190476190476</v>
      </c>
      <c r="H5" s="8"/>
    </row>
    <row r="6" customFormat="false" ht="15" hidden="false" customHeight="false" outlineLevel="0" collapsed="false">
      <c r="A6" s="5" t="s">
        <v>9</v>
      </c>
      <c r="B6" s="6" t="n">
        <f aca="false">COUNTIF(DIW!E5:E80,"Hecho")</f>
        <v>5</v>
      </c>
      <c r="C6" s="6" t="n">
        <f aca="false">COUNTIF(DIW!E5:E80,"En curso")</f>
        <v>0</v>
      </c>
      <c r="D6" s="6" t="n">
        <f aca="false">COUNTA(DIW!C5:C80)</f>
        <v>24</v>
      </c>
      <c r="E6" s="7" t="n">
        <f aca="false">IF(D6=0,0,B6/D6)</f>
        <v>0.208333333333333</v>
      </c>
      <c r="G6" s="8"/>
      <c r="H6" s="8"/>
    </row>
    <row r="7" customFormat="false" ht="15" hidden="false" customHeight="false" outlineLevel="0" collapsed="false">
      <c r="A7" s="5" t="s">
        <v>10</v>
      </c>
      <c r="B7" s="6" t="n">
        <f aca="false">COUNTIF(DCLI!E5:E80,"Hecho")</f>
        <v>0</v>
      </c>
      <c r="C7" s="6" t="n">
        <f aca="false">COUNTIF(DCLI!E5:E80,"En curso")</f>
        <v>0</v>
      </c>
      <c r="D7" s="6" t="n">
        <f aca="false">COUNTA(DCLI!C5:C80)</f>
        <v>24</v>
      </c>
      <c r="E7" s="7" t="n">
        <f aca="false">IF(D7=0,0,B7/D7)</f>
        <v>0</v>
      </c>
      <c r="G7" s="8"/>
      <c r="H7" s="8"/>
    </row>
    <row r="8" customFormat="false" ht="15" hidden="false" customHeight="false" outlineLevel="0" collapsed="false">
      <c r="A8" s="5" t="s">
        <v>11</v>
      </c>
      <c r="B8" s="6" t="n">
        <f aca="false">COUNTIF(DWES!E5:E80,"Hecho")</f>
        <v>0</v>
      </c>
      <c r="C8" s="6" t="n">
        <f aca="false">COUNTIF(DWES!E5:E80,"En curso")</f>
        <v>0</v>
      </c>
      <c r="D8" s="6" t="n">
        <f aca="false">COUNTA(DWES!C5:C80)</f>
        <v>21</v>
      </c>
      <c r="E8" s="7" t="n">
        <f aca="false">IF(D8=0,0,B8/D8)</f>
        <v>0</v>
      </c>
      <c r="G8" s="8"/>
      <c r="H8" s="8"/>
    </row>
    <row r="9" customFormat="false" ht="15" hidden="false" customHeight="false" outlineLevel="0" collapsed="false">
      <c r="A9" s="5" t="s">
        <v>12</v>
      </c>
      <c r="B9" s="6" t="n">
        <f aca="false">COUNTIF(Despliegue!E5:E80,"Hecho")</f>
        <v>0</v>
      </c>
      <c r="C9" s="6" t="n">
        <f aca="false">COUNTIF(Despliegue!E5:E80,"En curso")</f>
        <v>0</v>
      </c>
      <c r="D9" s="6" t="n">
        <f aca="false">COUNTA(Despliegue!C5:C80)</f>
        <v>9</v>
      </c>
      <c r="E9" s="7" t="n">
        <f aca="false">IF(D9=0,0,B9/D9)</f>
        <v>0</v>
      </c>
    </row>
    <row r="10" customFormat="false" ht="15" hidden="false" customHeight="false" outlineLevel="0" collapsed="false">
      <c r="A10" s="5" t="s">
        <v>13</v>
      </c>
      <c r="B10" s="6" t="n">
        <f aca="false">COUNTIF(Sistemas!E5:E80,"Hecho")</f>
        <v>0</v>
      </c>
      <c r="C10" s="6" t="n">
        <f aca="false">COUNTIF(Sistemas!E5:E80,"En curso")</f>
        <v>0</v>
      </c>
      <c r="D10" s="6" t="n">
        <f aca="false">COUNTA(Sistemas!C5:C80)</f>
        <v>11</v>
      </c>
      <c r="E10" s="7" t="n">
        <f aca="false">IF(D10=0,0,B10/D10)</f>
        <v>0</v>
      </c>
    </row>
    <row r="11" customFormat="false" ht="15" hidden="false" customHeight="false" outlineLevel="0" collapsed="false">
      <c r="A11" s="9" t="s">
        <v>14</v>
      </c>
      <c r="B11" s="10" t="n">
        <f aca="false">SUM(B5:B10)</f>
        <v>5</v>
      </c>
      <c r="C11" s="10" t="n">
        <f aca="false">SUM(C5:C10)</f>
        <v>0</v>
      </c>
      <c r="D11" s="10" t="n">
        <f aca="false">SUM(D5:D10)</f>
        <v>105</v>
      </c>
      <c r="E11" s="11" t="n">
        <f aca="false">IF(D11=0,0,B11/D11)</f>
        <v>0.0476190476190476</v>
      </c>
    </row>
    <row r="13" customFormat="false" ht="15" hidden="false" customHeight="false" outlineLevel="0" collapsed="false">
      <c r="A13" s="12" t="s">
        <v>15</v>
      </c>
    </row>
    <row r="14" customFormat="false" ht="15" hidden="false" customHeight="false" outlineLevel="0" collapsed="false">
      <c r="A14" s="13" t="s">
        <v>16</v>
      </c>
      <c r="B14" s="13" t="s">
        <v>3</v>
      </c>
      <c r="C14" s="13" t="s">
        <v>17</v>
      </c>
      <c r="E14" s="13" t="s">
        <v>6</v>
      </c>
    </row>
    <row r="15" customFormat="false" ht="15" hidden="false" customHeight="false" outlineLevel="0" collapsed="false">
      <c r="A15" s="14" t="s">
        <v>18</v>
      </c>
      <c r="B15" s="15" t="n">
        <f aca="false">COUNTIFS(Común!D5:D80,A15,Común!E5:E80,"Hecho")+COUNTIFS(DIW!D5:D80,A15,DIW!E5:E80,"Hecho")+COUNTIFS(DCLI!D5:D80,A15,DCLI!E5:E80,"Hecho")+COUNTIFS(DWES!D5:D80,A15,DWES!E5:E80,"Hecho")+COUNTIFS(Despliegue!D5:D80,A15,Despliegue!E5:E80,"Hecho")+COUNTIFS(Sistemas!D5:D80,A15,Sistemas!E5:E80,"Hecho")</f>
        <v>5</v>
      </c>
      <c r="C15" s="15" t="n">
        <f aca="false">COUNTIF(Común!D5:D80,A15)+COUNTIF(DIW!D5:D80,A15)+COUNTIF(DCLI!D5:D80,A15)+COUNTIF(DWES!D5:D80,A15)+COUNTIF(Despliegue!D5:D80,A15)+COUNTIF(Sistemas!D5:D80,A15)</f>
        <v>47</v>
      </c>
      <c r="E15" s="16" t="n">
        <f aca="false">IF(C15=0,0,B15/C15)</f>
        <v>0.106382978723404</v>
      </c>
    </row>
    <row r="16" customFormat="false" ht="15" hidden="false" customHeight="false" outlineLevel="0" collapsed="false">
      <c r="A16" s="14" t="s">
        <v>19</v>
      </c>
      <c r="B16" s="15" t="n">
        <f aca="false">COUNTIFS(Común!D5:D80,A16,Común!E5:E80,"Hecho")+COUNTIFS(DIW!D5:D80,A16,DIW!E5:E80,"Hecho")+COUNTIFS(DCLI!D5:D80,A16,DCLI!E5:E80,"Hecho")+COUNTIFS(DWES!D5:D80,A16,DWES!E5:E80,"Hecho")+COUNTIFS(Despliegue!D5:D80,A16,Despliegue!E5:E80,"Hecho")+COUNTIFS(Sistemas!D5:D80,A16,Sistemas!E5:E80,"Hecho")</f>
        <v>0</v>
      </c>
      <c r="C16" s="15" t="n">
        <f aca="false">COUNTIF(Común!D5:D80,A16)+COUNTIF(DIW!D5:D80,A16)+COUNTIF(DCLI!D5:D80,A16)+COUNTIF(DWES!D5:D80,A16)+COUNTIF(Despliegue!D5:D80,A16)+COUNTIF(Sistemas!D5:D80,A16)</f>
        <v>21</v>
      </c>
      <c r="E16" s="16" t="n">
        <f aca="false">IF(C16=0,0,B16/C16)</f>
        <v>0</v>
      </c>
    </row>
    <row r="17" customFormat="false" ht="15" hidden="false" customHeight="false" outlineLevel="0" collapsed="false">
      <c r="A17" s="14" t="s">
        <v>20</v>
      </c>
      <c r="B17" s="15" t="n">
        <f aca="false">COUNTIFS(Común!D5:D80,A17,Común!E5:E80,"Hecho")+COUNTIFS(DIW!D5:D80,A17,DIW!E5:E80,"Hecho")+COUNTIFS(DCLI!D5:D80,A17,DCLI!E5:E80,"Hecho")+COUNTIFS(DWES!D5:D80,A17,DWES!E5:E80,"Hecho")+COUNTIFS(Despliegue!D5:D80,A17,Despliegue!E5:E80,"Hecho")+COUNTIFS(Sistemas!D5:D80,A17,Sistemas!E5:E80,"Hecho")</f>
        <v>0</v>
      </c>
      <c r="C17" s="15" t="n">
        <f aca="false">COUNTIF(Común!D5:D80,A17)+COUNTIF(DIW!D5:D80,A17)+COUNTIF(DCLI!D5:D80,A17)+COUNTIF(DWES!D5:D80,A17)+COUNTIF(Despliegue!D5:D80,A17)+COUNTIF(Sistemas!D5:D80,A17)</f>
        <v>24</v>
      </c>
      <c r="E17" s="16" t="n">
        <f aca="false">IF(C17=0,0,B17/C17)</f>
        <v>0</v>
      </c>
    </row>
    <row r="18" customFormat="false" ht="15" hidden="false" customHeight="false" outlineLevel="0" collapsed="false">
      <c r="A18" s="17" t="s">
        <v>21</v>
      </c>
    </row>
    <row r="20" customFormat="false" ht="15" hidden="false" customHeight="false" outlineLevel="0" collapsed="false">
      <c r="A20" s="12" t="s">
        <v>22</v>
      </c>
    </row>
    <row r="21" customFormat="false" ht="15" hidden="false" customHeight="false" outlineLevel="0" collapsed="false">
      <c r="A21" s="18" t="s">
        <v>23</v>
      </c>
    </row>
    <row r="22" customFormat="false" ht="15" hidden="false" customHeight="false" outlineLevel="0" collapsed="false">
      <c r="A22" s="18" t="s">
        <v>24</v>
      </c>
    </row>
    <row r="23" customFormat="false" ht="15" hidden="false" customHeight="false" outlineLevel="0" collapsed="false">
      <c r="A23" s="18" t="s">
        <v>25</v>
      </c>
    </row>
    <row r="24" customFormat="false" ht="15" hidden="false" customHeight="false" outlineLevel="0" collapsed="false">
      <c r="A24" s="18" t="s">
        <v>26</v>
      </c>
    </row>
    <row r="25" customFormat="false" ht="15" hidden="false" customHeight="false" outlineLevel="0" collapsed="false">
      <c r="A25" s="18" t="s">
        <v>27</v>
      </c>
    </row>
  </sheetData>
  <mergeCells count="2">
    <mergeCell ref="G4:H4"/>
    <mergeCell ref="G5:H8"/>
  </mergeCells>
  <conditionalFormatting sqref="E5:E10">
    <cfRule type="dataBar" priority="2">
      <dataBar showValue="1" minLength="10" maxLength="90">
        <cfvo type="num" val="0"/>
        <cfvo type="num" val="1"/>
        <color rgb="FFC0504D"/>
      </dataBar>
      <extLst>
        <ext xmlns:x14="http://schemas.microsoft.com/office/spreadsheetml/2009/9/main" uri="{B025F937-C7B1-47D3-B67F-A62EFF666E3E}">
          <x14:id>{E6B3F877-DC20-48D7-AA1D-FEE073DDF97A}</x14:id>
        </ext>
      </extLst>
    </cfRule>
  </conditionalFormatting>
  <conditionalFormatting sqref="E15:E17">
    <cfRule type="dataBar" priority="3">
      <dataBar showValue="1" minLength="10" maxLength="90">
        <cfvo type="num" val="0"/>
        <cfvo type="num" val="1"/>
        <color rgb="FF4F81BD"/>
      </dataBar>
      <extLst>
        <ext xmlns:x14="http://schemas.microsoft.com/office/spreadsheetml/2009/9/main" uri="{B025F937-C7B1-47D3-B67F-A62EFF666E3E}">
          <x14:id>{C829B7AF-6969-47F1-B329-EB8018E7CA84}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6B3F877-DC20-48D7-AA1D-FEE073DDF97A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C0504D"/>
              <x14:axisColor rgb="FF000000"/>
            </x14:dataBar>
          </x14:cfRule>
          <xm:sqref>E5:E10</xm:sqref>
        </x14:conditionalFormatting>
        <x14:conditionalFormatting xmlns:xm="http://schemas.microsoft.com/office/excel/2006/main">
          <x14:cfRule type="dataBar" id="{C829B7AF-6969-47F1-B329-EB8018E7CA84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4F81BD"/>
              <x14:axisColor rgb="FF000000"/>
            </x14:dataBar>
          </x14:cfRule>
          <xm:sqref>E15:E17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62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6" min="6" style="0" width="38"/>
  </cols>
  <sheetData>
    <row r="1" customFormat="false" ht="17.35" hidden="false" customHeight="false" outlineLevel="0" collapsed="false">
      <c r="A1" s="19" t="s">
        <v>8</v>
      </c>
    </row>
    <row r="2" customFormat="false" ht="15" hidden="false" customHeight="false" outlineLevel="0" collapsed="false">
      <c r="A2" s="20" t="s">
        <v>28</v>
      </c>
      <c r="B2" s="21" t="n">
        <f aca="false">IF(COUNTA(C5:C80)=0,0,COUNTIF(E5:E80,"Hecho")/COUNTA(C5:C80))</f>
        <v>0</v>
      </c>
      <c r="C2" s="22" t="str">
        <f aca="false">COUNTIF(E5:E80,"Hecho")&amp;" de "&amp;COUNTA(C5:C80)&amp;" apartados hechos"</f>
        <v>0 de 16 apartados hechos</v>
      </c>
    </row>
    <row r="4" customFormat="false" ht="15" hidden="false" customHeight="false" outlineLevel="0" collapsed="false">
      <c r="A4" s="3" t="s">
        <v>29</v>
      </c>
      <c r="B4" s="3" t="s">
        <v>30</v>
      </c>
      <c r="C4" s="3" t="s">
        <v>31</v>
      </c>
      <c r="D4" s="3" t="s">
        <v>32</v>
      </c>
      <c r="E4" s="3" t="s">
        <v>33</v>
      </c>
      <c r="F4" s="3" t="s">
        <v>34</v>
      </c>
    </row>
    <row r="5" customFormat="false" ht="15" hidden="false" customHeight="false" outlineLevel="0" collapsed="false">
      <c r="A5" s="23" t="n">
        <v>1</v>
      </c>
      <c r="B5" s="24" t="s">
        <v>35</v>
      </c>
      <c r="C5" s="24" t="s">
        <v>36</v>
      </c>
      <c r="D5" s="23" t="s">
        <v>20</v>
      </c>
      <c r="E5" s="23" t="s">
        <v>37</v>
      </c>
      <c r="F5" s="24"/>
    </row>
    <row r="6" customFormat="false" ht="15" hidden="false" customHeight="false" outlineLevel="0" collapsed="false">
      <c r="A6" s="23" t="n">
        <v>2</v>
      </c>
      <c r="B6" s="24" t="s">
        <v>35</v>
      </c>
      <c r="C6" s="24" t="s">
        <v>38</v>
      </c>
      <c r="D6" s="23" t="s">
        <v>39</v>
      </c>
      <c r="E6" s="23" t="s">
        <v>37</v>
      </c>
      <c r="F6" s="24"/>
    </row>
    <row r="7" customFormat="false" ht="15" hidden="false" customHeight="false" outlineLevel="0" collapsed="false">
      <c r="A7" s="23" t="n">
        <v>3</v>
      </c>
      <c r="B7" s="24" t="s">
        <v>35</v>
      </c>
      <c r="C7" s="24" t="s">
        <v>40</v>
      </c>
      <c r="D7" s="23" t="s">
        <v>20</v>
      </c>
      <c r="E7" s="23" t="s">
        <v>37</v>
      </c>
      <c r="F7" s="24"/>
    </row>
    <row r="8" customFormat="false" ht="15" hidden="false" customHeight="false" outlineLevel="0" collapsed="false">
      <c r="A8" s="23" t="n">
        <v>4</v>
      </c>
      <c r="B8" s="24" t="s">
        <v>41</v>
      </c>
      <c r="C8" s="24" t="s">
        <v>42</v>
      </c>
      <c r="D8" s="23" t="s">
        <v>18</v>
      </c>
      <c r="E8" s="23" t="s">
        <v>37</v>
      </c>
      <c r="F8" s="24"/>
    </row>
    <row r="9" customFormat="false" ht="15" hidden="false" customHeight="false" outlineLevel="0" collapsed="false">
      <c r="A9" s="23" t="n">
        <v>5</v>
      </c>
      <c r="B9" s="24" t="s">
        <v>41</v>
      </c>
      <c r="C9" s="24" t="s">
        <v>43</v>
      </c>
      <c r="D9" s="23" t="s">
        <v>18</v>
      </c>
      <c r="E9" s="23" t="s">
        <v>37</v>
      </c>
      <c r="F9" s="24"/>
    </row>
    <row r="10" customFormat="false" ht="15" hidden="false" customHeight="false" outlineLevel="0" collapsed="false">
      <c r="A10" s="23" t="n">
        <v>6</v>
      </c>
      <c r="B10" s="24" t="s">
        <v>41</v>
      </c>
      <c r="C10" s="24" t="s">
        <v>44</v>
      </c>
      <c r="D10" s="23" t="s">
        <v>39</v>
      </c>
      <c r="E10" s="23" t="s">
        <v>37</v>
      </c>
      <c r="F10" s="24"/>
    </row>
    <row r="11" customFormat="false" ht="15" hidden="false" customHeight="false" outlineLevel="0" collapsed="false">
      <c r="A11" s="23" t="n">
        <v>7</v>
      </c>
      <c r="B11" s="24" t="s">
        <v>41</v>
      </c>
      <c r="C11" s="24" t="s">
        <v>45</v>
      </c>
      <c r="D11" s="23" t="s">
        <v>39</v>
      </c>
      <c r="E11" s="23" t="s">
        <v>37</v>
      </c>
      <c r="F11" s="24"/>
    </row>
    <row r="12" customFormat="false" ht="15" hidden="false" customHeight="false" outlineLevel="0" collapsed="false">
      <c r="A12" s="23" t="n">
        <v>8</v>
      </c>
      <c r="B12" s="24" t="s">
        <v>46</v>
      </c>
      <c r="C12" s="24" t="s">
        <v>47</v>
      </c>
      <c r="D12" s="23" t="s">
        <v>39</v>
      </c>
      <c r="E12" s="23" t="s">
        <v>37</v>
      </c>
      <c r="F12" s="24"/>
    </row>
    <row r="13" customFormat="false" ht="15" hidden="false" customHeight="false" outlineLevel="0" collapsed="false">
      <c r="A13" s="23" t="n">
        <v>9</v>
      </c>
      <c r="B13" s="24" t="s">
        <v>46</v>
      </c>
      <c r="C13" s="24" t="s">
        <v>48</v>
      </c>
      <c r="D13" s="23" t="s">
        <v>39</v>
      </c>
      <c r="E13" s="23" t="s">
        <v>37</v>
      </c>
      <c r="F13" s="24"/>
    </row>
    <row r="14" customFormat="false" ht="15" hidden="false" customHeight="false" outlineLevel="0" collapsed="false">
      <c r="A14" s="23" t="n">
        <v>10</v>
      </c>
      <c r="B14" s="24" t="s">
        <v>46</v>
      </c>
      <c r="C14" s="24" t="s">
        <v>49</v>
      </c>
      <c r="D14" s="23" t="s">
        <v>39</v>
      </c>
      <c r="E14" s="23" t="s">
        <v>37</v>
      </c>
      <c r="F14" s="24"/>
    </row>
    <row r="15" customFormat="false" ht="15" hidden="false" customHeight="false" outlineLevel="0" collapsed="false">
      <c r="A15" s="23" t="n">
        <v>11</v>
      </c>
      <c r="B15" s="24" t="s">
        <v>46</v>
      </c>
      <c r="C15" s="24" t="s">
        <v>50</v>
      </c>
      <c r="D15" s="23" t="s">
        <v>39</v>
      </c>
      <c r="E15" s="23" t="s">
        <v>37</v>
      </c>
      <c r="F15" s="24"/>
    </row>
    <row r="16" customFormat="false" ht="15" hidden="false" customHeight="false" outlineLevel="0" collapsed="false">
      <c r="A16" s="23" t="n">
        <v>12</v>
      </c>
      <c r="B16" s="24" t="s">
        <v>46</v>
      </c>
      <c r="C16" s="24" t="s">
        <v>51</v>
      </c>
      <c r="D16" s="23" t="s">
        <v>39</v>
      </c>
      <c r="E16" s="23" t="s">
        <v>37</v>
      </c>
      <c r="F16" s="24"/>
    </row>
    <row r="17" customFormat="false" ht="15" hidden="false" customHeight="false" outlineLevel="0" collapsed="false">
      <c r="A17" s="23" t="n">
        <v>13</v>
      </c>
      <c r="B17" s="24" t="s">
        <v>52</v>
      </c>
      <c r="C17" s="24" t="s">
        <v>53</v>
      </c>
      <c r="D17" s="23" t="s">
        <v>39</v>
      </c>
      <c r="E17" s="23" t="s">
        <v>37</v>
      </c>
      <c r="F17" s="24"/>
    </row>
    <row r="18" customFormat="false" ht="15" hidden="false" customHeight="false" outlineLevel="0" collapsed="false">
      <c r="A18" s="23" t="n">
        <v>14</v>
      </c>
      <c r="B18" s="24" t="s">
        <v>52</v>
      </c>
      <c r="C18" s="24" t="s">
        <v>54</v>
      </c>
      <c r="D18" s="23" t="s">
        <v>39</v>
      </c>
      <c r="E18" s="23" t="s">
        <v>37</v>
      </c>
      <c r="F18" s="24"/>
    </row>
    <row r="19" customFormat="false" ht="15" hidden="false" customHeight="false" outlineLevel="0" collapsed="false">
      <c r="A19" s="23" t="n">
        <v>15</v>
      </c>
      <c r="B19" s="24" t="s">
        <v>52</v>
      </c>
      <c r="C19" s="24" t="s">
        <v>55</v>
      </c>
      <c r="D19" s="23" t="s">
        <v>39</v>
      </c>
      <c r="E19" s="23" t="s">
        <v>37</v>
      </c>
      <c r="F19" s="24"/>
    </row>
    <row r="20" customFormat="false" ht="15" hidden="false" customHeight="false" outlineLevel="0" collapsed="false">
      <c r="A20" s="23" t="n">
        <v>16</v>
      </c>
      <c r="B20" s="24" t="s">
        <v>52</v>
      </c>
      <c r="C20" s="24" t="s">
        <v>56</v>
      </c>
      <c r="D20" s="23" t="s">
        <v>39</v>
      </c>
      <c r="E20" s="23" t="s">
        <v>37</v>
      </c>
      <c r="F20" s="24"/>
    </row>
    <row r="21" customFormat="false" ht="15" hidden="false" customHeight="false" outlineLevel="0" collapsed="false">
      <c r="A21" s="23"/>
      <c r="B21" s="24"/>
      <c r="C21" s="24"/>
      <c r="D21" s="23"/>
      <c r="E21" s="23"/>
      <c r="F21" s="24"/>
    </row>
    <row r="22" customFormat="false" ht="15" hidden="false" customHeight="false" outlineLevel="0" collapsed="false">
      <c r="A22" s="23"/>
      <c r="B22" s="24"/>
      <c r="C22" s="24"/>
      <c r="D22" s="23"/>
      <c r="E22" s="23"/>
      <c r="F22" s="24"/>
    </row>
    <row r="23" customFormat="false" ht="15" hidden="false" customHeight="false" outlineLevel="0" collapsed="false">
      <c r="A23" s="23"/>
      <c r="B23" s="24"/>
      <c r="C23" s="24"/>
      <c r="D23" s="23"/>
      <c r="E23" s="23"/>
      <c r="F23" s="24"/>
    </row>
    <row r="24" customFormat="false" ht="15" hidden="false" customHeight="false" outlineLevel="0" collapsed="false">
      <c r="A24" s="23"/>
      <c r="B24" s="24"/>
      <c r="C24" s="24"/>
      <c r="D24" s="23"/>
      <c r="E24" s="23"/>
      <c r="F24" s="24"/>
    </row>
    <row r="25" customFormat="false" ht="15" hidden="false" customHeight="false" outlineLevel="0" collapsed="false">
      <c r="A25" s="23"/>
      <c r="B25" s="24"/>
      <c r="C25" s="24"/>
      <c r="D25" s="23"/>
      <c r="E25" s="23"/>
      <c r="F25" s="24"/>
    </row>
    <row r="26" customFormat="false" ht="15" hidden="false" customHeight="false" outlineLevel="0" collapsed="false">
      <c r="A26" s="23"/>
      <c r="B26" s="24"/>
      <c r="C26" s="24"/>
      <c r="D26" s="23"/>
      <c r="E26" s="23"/>
      <c r="F26" s="24"/>
    </row>
    <row r="27" customFormat="false" ht="15" hidden="false" customHeight="false" outlineLevel="0" collapsed="false">
      <c r="A27" s="23"/>
      <c r="B27" s="24"/>
      <c r="C27" s="24"/>
      <c r="D27" s="23"/>
      <c r="E27" s="23"/>
      <c r="F27" s="24"/>
    </row>
    <row r="28" customFormat="false" ht="15" hidden="false" customHeight="false" outlineLevel="0" collapsed="false">
      <c r="A28" s="23"/>
      <c r="B28" s="24"/>
      <c r="C28" s="24"/>
      <c r="D28" s="23"/>
      <c r="E28" s="23"/>
      <c r="F28" s="24"/>
    </row>
    <row r="29" customFormat="false" ht="15" hidden="false" customHeight="false" outlineLevel="0" collapsed="false">
      <c r="A29" s="23"/>
      <c r="B29" s="24"/>
      <c r="C29" s="24"/>
      <c r="D29" s="23"/>
      <c r="E29" s="23"/>
      <c r="F29" s="24"/>
    </row>
    <row r="30" customFormat="false" ht="15" hidden="false" customHeight="false" outlineLevel="0" collapsed="false">
      <c r="A30" s="23"/>
      <c r="B30" s="24"/>
      <c r="C30" s="24"/>
      <c r="D30" s="23"/>
      <c r="E30" s="23"/>
      <c r="F30" s="24"/>
    </row>
    <row r="31" customFormat="false" ht="15" hidden="false" customHeight="false" outlineLevel="0" collapsed="false">
      <c r="A31" s="25"/>
      <c r="B31" s="26"/>
      <c r="C31" s="26"/>
      <c r="D31" s="25"/>
      <c r="E31" s="25"/>
      <c r="F31" s="26"/>
    </row>
    <row r="32" customFormat="false" ht="15" hidden="false" customHeight="false" outlineLevel="0" collapsed="false">
      <c r="A32" s="25"/>
      <c r="B32" s="26"/>
      <c r="C32" s="26"/>
      <c r="D32" s="25"/>
      <c r="E32" s="25"/>
      <c r="F32" s="26"/>
    </row>
    <row r="33" customFormat="false" ht="15" hidden="false" customHeight="false" outlineLevel="0" collapsed="false">
      <c r="A33" s="25"/>
      <c r="B33" s="26"/>
      <c r="C33" s="26"/>
      <c r="D33" s="25"/>
      <c r="E33" s="25"/>
      <c r="F33" s="26"/>
    </row>
    <row r="34" customFormat="false" ht="15" hidden="false" customHeight="false" outlineLevel="0" collapsed="false">
      <c r="A34" s="25"/>
      <c r="B34" s="26"/>
      <c r="C34" s="26"/>
      <c r="D34" s="25"/>
      <c r="E34" s="25"/>
      <c r="F34" s="26"/>
    </row>
    <row r="35" customFormat="false" ht="15" hidden="false" customHeight="false" outlineLevel="0" collapsed="false">
      <c r="A35" s="25"/>
      <c r="B35" s="26"/>
      <c r="C35" s="26"/>
      <c r="D35" s="25"/>
      <c r="E35" s="25"/>
      <c r="F35" s="26"/>
    </row>
    <row r="36" customFormat="false" ht="15" hidden="false" customHeight="false" outlineLevel="0" collapsed="false">
      <c r="A36" s="25"/>
      <c r="B36" s="26"/>
      <c r="C36" s="26"/>
      <c r="D36" s="25"/>
      <c r="E36" s="25"/>
      <c r="F36" s="26"/>
    </row>
    <row r="37" customFormat="false" ht="15" hidden="false" customHeight="false" outlineLevel="0" collapsed="false">
      <c r="A37" s="25"/>
      <c r="B37" s="26"/>
      <c r="C37" s="26"/>
      <c r="D37" s="25"/>
      <c r="E37" s="25"/>
      <c r="F37" s="26"/>
    </row>
    <row r="38" customFormat="false" ht="15" hidden="false" customHeight="false" outlineLevel="0" collapsed="false">
      <c r="A38" s="25"/>
      <c r="B38" s="26"/>
      <c r="C38" s="26"/>
      <c r="D38" s="25"/>
      <c r="E38" s="25"/>
      <c r="F38" s="26"/>
    </row>
    <row r="39" customFormat="false" ht="15" hidden="false" customHeight="false" outlineLevel="0" collapsed="false">
      <c r="A39" s="25"/>
      <c r="B39" s="26"/>
      <c r="C39" s="26"/>
      <c r="D39" s="25"/>
      <c r="E39" s="25"/>
      <c r="F39" s="26"/>
    </row>
    <row r="40" customFormat="false" ht="15" hidden="false" customHeight="false" outlineLevel="0" collapsed="false">
      <c r="A40" s="25"/>
      <c r="B40" s="26"/>
      <c r="C40" s="26"/>
      <c r="D40" s="25"/>
      <c r="E40" s="25"/>
      <c r="F40" s="26"/>
    </row>
    <row r="41" customFormat="false" ht="15" hidden="false" customHeight="false" outlineLevel="0" collapsed="false">
      <c r="A41" s="25"/>
      <c r="B41" s="26"/>
      <c r="C41" s="26"/>
      <c r="D41" s="25"/>
      <c r="E41" s="25"/>
      <c r="F41" s="26"/>
    </row>
    <row r="42" customFormat="false" ht="15" hidden="false" customHeight="false" outlineLevel="0" collapsed="false">
      <c r="A42" s="25"/>
      <c r="B42" s="26"/>
      <c r="C42" s="26"/>
      <c r="D42" s="25"/>
      <c r="E42" s="25"/>
      <c r="F42" s="26"/>
    </row>
    <row r="43" customFormat="false" ht="15" hidden="false" customHeight="false" outlineLevel="0" collapsed="false">
      <c r="A43" s="25"/>
      <c r="B43" s="26"/>
      <c r="C43" s="26"/>
      <c r="D43" s="25"/>
      <c r="E43" s="25"/>
      <c r="F43" s="26"/>
    </row>
    <row r="44" customFormat="false" ht="15" hidden="false" customHeight="false" outlineLevel="0" collapsed="false">
      <c r="A44" s="25"/>
      <c r="B44" s="26"/>
      <c r="C44" s="26"/>
      <c r="D44" s="25"/>
      <c r="E44" s="25"/>
      <c r="F44" s="26"/>
    </row>
    <row r="45" customFormat="false" ht="15" hidden="false" customHeight="false" outlineLevel="0" collapsed="false">
      <c r="A45" s="25"/>
      <c r="B45" s="26"/>
      <c r="C45" s="26"/>
      <c r="D45" s="25"/>
      <c r="E45" s="25"/>
      <c r="F45" s="26"/>
    </row>
    <row r="46" customFormat="false" ht="15" hidden="false" customHeight="false" outlineLevel="0" collapsed="false">
      <c r="A46" s="25"/>
      <c r="B46" s="26"/>
      <c r="C46" s="26"/>
      <c r="D46" s="25"/>
      <c r="E46" s="25"/>
      <c r="F46" s="26"/>
    </row>
    <row r="47" customFormat="false" ht="15" hidden="false" customHeight="false" outlineLevel="0" collapsed="false">
      <c r="A47" s="25"/>
      <c r="B47" s="26"/>
      <c r="C47" s="26"/>
      <c r="D47" s="25"/>
      <c r="E47" s="25"/>
      <c r="F47" s="26"/>
    </row>
    <row r="48" customFormat="false" ht="15" hidden="false" customHeight="false" outlineLevel="0" collapsed="false">
      <c r="A48" s="25"/>
      <c r="B48" s="26"/>
      <c r="C48" s="26"/>
      <c r="D48" s="25"/>
      <c r="E48" s="25"/>
      <c r="F48" s="26"/>
    </row>
    <row r="49" customFormat="false" ht="15" hidden="false" customHeight="false" outlineLevel="0" collapsed="false">
      <c r="A49" s="25"/>
      <c r="B49" s="26"/>
      <c r="C49" s="26"/>
      <c r="D49" s="25"/>
      <c r="E49" s="25"/>
      <c r="F49" s="26"/>
    </row>
    <row r="50" customFormat="false" ht="15" hidden="false" customHeight="false" outlineLevel="0" collapsed="false">
      <c r="A50" s="25"/>
      <c r="B50" s="26"/>
      <c r="C50" s="26"/>
      <c r="D50" s="25"/>
      <c r="E50" s="25"/>
      <c r="F50" s="26"/>
    </row>
    <row r="51" customFormat="false" ht="15" hidden="false" customHeight="false" outlineLevel="0" collapsed="false">
      <c r="A51" s="25"/>
      <c r="B51" s="26"/>
      <c r="C51" s="26"/>
      <c r="D51" s="25"/>
      <c r="E51" s="25"/>
      <c r="F51" s="26"/>
    </row>
    <row r="52" customFormat="false" ht="15" hidden="false" customHeight="false" outlineLevel="0" collapsed="false">
      <c r="A52" s="25"/>
      <c r="B52" s="26"/>
      <c r="C52" s="26"/>
      <c r="D52" s="25"/>
      <c r="E52" s="25"/>
      <c r="F52" s="26"/>
    </row>
    <row r="53" customFormat="false" ht="15" hidden="false" customHeight="false" outlineLevel="0" collapsed="false">
      <c r="A53" s="25"/>
      <c r="B53" s="26"/>
      <c r="C53" s="26"/>
      <c r="D53" s="25"/>
      <c r="E53" s="25"/>
      <c r="F53" s="26"/>
    </row>
    <row r="54" customFormat="false" ht="15" hidden="false" customHeight="false" outlineLevel="0" collapsed="false">
      <c r="A54" s="25"/>
      <c r="B54" s="26"/>
      <c r="C54" s="26"/>
      <c r="D54" s="25"/>
      <c r="E54" s="25"/>
      <c r="F54" s="26"/>
    </row>
    <row r="55" customFormat="false" ht="15" hidden="false" customHeight="false" outlineLevel="0" collapsed="false">
      <c r="A55" s="25"/>
      <c r="B55" s="26"/>
      <c r="C55" s="26"/>
      <c r="D55" s="25"/>
      <c r="E55" s="25"/>
      <c r="F55" s="26"/>
    </row>
    <row r="56" customFormat="false" ht="15" hidden="false" customHeight="false" outlineLevel="0" collapsed="false">
      <c r="A56" s="25"/>
      <c r="B56" s="26"/>
      <c r="C56" s="26"/>
      <c r="D56" s="25"/>
      <c r="E56" s="25"/>
      <c r="F56" s="26"/>
    </row>
    <row r="57" customFormat="false" ht="15" hidden="false" customHeight="false" outlineLevel="0" collapsed="false">
      <c r="A57" s="25"/>
      <c r="B57" s="26"/>
      <c r="C57" s="26"/>
      <c r="D57" s="25"/>
      <c r="E57" s="25"/>
      <c r="F57" s="26"/>
    </row>
    <row r="58" customFormat="false" ht="15" hidden="false" customHeight="false" outlineLevel="0" collapsed="false">
      <c r="A58" s="25"/>
      <c r="B58" s="26"/>
      <c r="C58" s="26"/>
      <c r="D58" s="25"/>
      <c r="E58" s="25"/>
      <c r="F58" s="26"/>
    </row>
    <row r="59" customFormat="false" ht="15" hidden="false" customHeight="false" outlineLevel="0" collapsed="false">
      <c r="A59" s="25"/>
      <c r="B59" s="26"/>
      <c r="C59" s="26"/>
      <c r="D59" s="25"/>
      <c r="E59" s="25"/>
      <c r="F59" s="26"/>
    </row>
    <row r="60" customFormat="false" ht="15" hidden="false" customHeight="false" outlineLevel="0" collapsed="false">
      <c r="A60" s="25"/>
      <c r="B60" s="26"/>
      <c r="C60" s="26"/>
      <c r="D60" s="25"/>
      <c r="E60" s="25"/>
      <c r="F60" s="26"/>
    </row>
    <row r="61" customFormat="false" ht="15" hidden="false" customHeight="false" outlineLevel="0" collapsed="false">
      <c r="A61" s="25"/>
      <c r="B61" s="26"/>
      <c r="C61" s="26"/>
      <c r="D61" s="25"/>
      <c r="E61" s="25"/>
      <c r="F61" s="26"/>
    </row>
    <row r="62" customFormat="false" ht="15" hidden="false" customHeight="false" outlineLevel="0" collapsed="false">
      <c r="A62" s="25"/>
      <c r="B62" s="26"/>
      <c r="C62" s="26"/>
      <c r="D62" s="25"/>
      <c r="E62" s="25"/>
      <c r="F62" s="26"/>
    </row>
    <row r="63" customFormat="false" ht="15" hidden="false" customHeight="false" outlineLevel="0" collapsed="false">
      <c r="A63" s="25"/>
      <c r="B63" s="26"/>
      <c r="C63" s="26"/>
      <c r="D63" s="25"/>
      <c r="E63" s="25"/>
      <c r="F63" s="26"/>
    </row>
    <row r="64" customFormat="false" ht="15" hidden="false" customHeight="false" outlineLevel="0" collapsed="false">
      <c r="A64" s="25"/>
      <c r="B64" s="26"/>
      <c r="C64" s="26"/>
      <c r="D64" s="25"/>
      <c r="E64" s="25"/>
      <c r="F64" s="26"/>
    </row>
    <row r="65" customFormat="false" ht="15" hidden="false" customHeight="false" outlineLevel="0" collapsed="false">
      <c r="A65" s="25"/>
      <c r="B65" s="26"/>
      <c r="C65" s="26"/>
      <c r="D65" s="25"/>
      <c r="E65" s="25"/>
      <c r="F65" s="26"/>
    </row>
    <row r="66" customFormat="false" ht="15" hidden="false" customHeight="false" outlineLevel="0" collapsed="false">
      <c r="A66" s="25"/>
      <c r="B66" s="26"/>
      <c r="C66" s="26"/>
      <c r="D66" s="25"/>
      <c r="E66" s="25"/>
      <c r="F66" s="26"/>
    </row>
    <row r="67" customFormat="false" ht="15" hidden="false" customHeight="false" outlineLevel="0" collapsed="false">
      <c r="A67" s="25"/>
      <c r="B67" s="26"/>
      <c r="C67" s="26"/>
      <c r="D67" s="25"/>
      <c r="E67" s="25"/>
      <c r="F67" s="26"/>
    </row>
    <row r="68" customFormat="false" ht="15" hidden="false" customHeight="false" outlineLevel="0" collapsed="false">
      <c r="A68" s="25"/>
      <c r="B68" s="26"/>
      <c r="C68" s="26"/>
      <c r="D68" s="25"/>
      <c r="E68" s="25"/>
      <c r="F68" s="26"/>
    </row>
    <row r="69" customFormat="false" ht="15" hidden="false" customHeight="false" outlineLevel="0" collapsed="false">
      <c r="A69" s="25"/>
      <c r="B69" s="26"/>
      <c r="C69" s="26"/>
      <c r="D69" s="25"/>
      <c r="E69" s="25"/>
      <c r="F69" s="26"/>
    </row>
    <row r="70" customFormat="false" ht="15" hidden="false" customHeight="false" outlineLevel="0" collapsed="false">
      <c r="A70" s="25"/>
      <c r="B70" s="26"/>
      <c r="C70" s="26"/>
      <c r="D70" s="25"/>
      <c r="E70" s="25"/>
      <c r="F70" s="26"/>
    </row>
    <row r="71" customFormat="false" ht="15" hidden="false" customHeight="false" outlineLevel="0" collapsed="false">
      <c r="A71" s="25"/>
      <c r="B71" s="26"/>
      <c r="C71" s="26"/>
      <c r="D71" s="25"/>
      <c r="E71" s="25"/>
      <c r="F71" s="26"/>
    </row>
    <row r="72" customFormat="false" ht="15" hidden="false" customHeight="false" outlineLevel="0" collapsed="false">
      <c r="A72" s="25"/>
      <c r="B72" s="26"/>
      <c r="C72" s="26"/>
      <c r="D72" s="25"/>
      <c r="E72" s="25"/>
      <c r="F72" s="26"/>
    </row>
    <row r="73" customFormat="false" ht="15" hidden="false" customHeight="false" outlineLevel="0" collapsed="false">
      <c r="A73" s="25"/>
      <c r="B73" s="26"/>
      <c r="C73" s="26"/>
      <c r="D73" s="25"/>
      <c r="E73" s="25"/>
      <c r="F73" s="26"/>
    </row>
    <row r="74" customFormat="false" ht="15" hidden="false" customHeight="false" outlineLevel="0" collapsed="false">
      <c r="A74" s="25"/>
      <c r="B74" s="26"/>
      <c r="C74" s="26"/>
      <c r="D74" s="25"/>
      <c r="E74" s="25"/>
      <c r="F74" s="26"/>
    </row>
    <row r="75" customFormat="false" ht="15" hidden="false" customHeight="false" outlineLevel="0" collapsed="false">
      <c r="A75" s="25"/>
      <c r="B75" s="26"/>
      <c r="C75" s="26"/>
      <c r="D75" s="25"/>
      <c r="E75" s="25"/>
      <c r="F75" s="26"/>
    </row>
    <row r="76" customFormat="false" ht="15" hidden="false" customHeight="false" outlineLevel="0" collapsed="false">
      <c r="A76" s="25"/>
      <c r="B76" s="26"/>
      <c r="C76" s="26"/>
      <c r="D76" s="25"/>
      <c r="E76" s="25"/>
      <c r="F76" s="26"/>
    </row>
    <row r="77" customFormat="false" ht="15" hidden="false" customHeight="false" outlineLevel="0" collapsed="false">
      <c r="A77" s="25"/>
      <c r="B77" s="26"/>
      <c r="C77" s="26"/>
      <c r="D77" s="25"/>
      <c r="E77" s="25"/>
      <c r="F77" s="26"/>
    </row>
    <row r="78" customFormat="false" ht="15" hidden="false" customHeight="false" outlineLevel="0" collapsed="false">
      <c r="A78" s="25"/>
      <c r="B78" s="26"/>
      <c r="C78" s="26"/>
      <c r="D78" s="25"/>
      <c r="E78" s="25"/>
      <c r="F78" s="26"/>
    </row>
    <row r="79" customFormat="false" ht="15" hidden="false" customHeight="false" outlineLevel="0" collapsed="false">
      <c r="A79" s="25"/>
      <c r="B79" s="26"/>
      <c r="C79" s="26"/>
      <c r="D79" s="25"/>
      <c r="E79" s="25"/>
      <c r="F79" s="26"/>
    </row>
    <row r="80" customFormat="false" ht="15" hidden="false" customHeight="false" outlineLevel="0" collapsed="false">
      <c r="A80" s="25"/>
      <c r="B80" s="26"/>
      <c r="C80" s="26"/>
      <c r="D80" s="25"/>
      <c r="E80" s="25"/>
      <c r="F80" s="26"/>
    </row>
  </sheetData>
  <conditionalFormatting sqref="E5:E80">
    <cfRule type="cellIs" priority="2" operator="equal" aboveAverage="0" equalAverage="0" bottom="0" percent="0" rank="0" text="" dxfId="0">
      <formula>"Hecho"</formula>
    </cfRule>
    <cfRule type="cellIs" priority="3" operator="equal" aboveAverage="0" equalAverage="0" bottom="0" percent="0" rank="0" text="" dxfId="1">
      <formula>"En curso"</formula>
    </cfRule>
    <cfRule type="cellIs" priority="4" operator="equal" aboveAverage="0" equalAverage="0" bottom="0" percent="0" rank="0" text="" dxfId="2">
      <formula>"Pendiente"</formula>
    </cfRule>
  </conditionalFormatting>
  <dataValidations count="2">
    <dataValidation allowBlank="true" errorStyle="stop" operator="between" showDropDown="false" showErrorMessage="false" showInputMessage="false" sqref="E5:E80" type="list">
      <formula1>"Pendiente,En curso,Hecho"</formula1>
      <formula2>0</formula2>
    </dataValidation>
    <dataValidation allowBlank="true" errorStyle="stop" operator="between" showDropDown="false" showErrorMessage="false" showInputMessage="false" sqref="D5:D80" type="list">
      <formula1>"Número 1,Número 2,Número 3,Todos"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62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6" min="6" style="0" width="38"/>
  </cols>
  <sheetData>
    <row r="1" customFormat="false" ht="17.35" hidden="false" customHeight="false" outlineLevel="0" collapsed="false">
      <c r="A1" s="19" t="s">
        <v>9</v>
      </c>
    </row>
    <row r="2" customFormat="false" ht="15" hidden="false" customHeight="false" outlineLevel="0" collapsed="false">
      <c r="A2" s="20" t="s">
        <v>28</v>
      </c>
      <c r="B2" s="21" t="n">
        <f aca="false">IF(COUNTA(C5:C80)=0,0,COUNTIF(E5:E80,"Hecho")/COUNTA(C5:C80))</f>
        <v>0.208333333333333</v>
      </c>
      <c r="C2" s="22" t="str">
        <f aca="false">COUNTIF(E5:E80,"Hecho")&amp;" de "&amp;COUNTA(C5:C80)&amp;" apartados hechos"</f>
        <v>5 de 24 apartados hechos</v>
      </c>
    </row>
    <row r="4" customFormat="false" ht="15" hidden="false" customHeight="false" outlineLevel="0" collapsed="false">
      <c r="A4" s="3" t="s">
        <v>29</v>
      </c>
      <c r="B4" s="3" t="s">
        <v>30</v>
      </c>
      <c r="C4" s="3" t="s">
        <v>31</v>
      </c>
      <c r="D4" s="3" t="s">
        <v>32</v>
      </c>
      <c r="E4" s="3" t="s">
        <v>33</v>
      </c>
      <c r="F4" s="3" t="s">
        <v>34</v>
      </c>
    </row>
    <row r="5" customFormat="false" ht="15" hidden="false" customHeight="false" outlineLevel="0" collapsed="false">
      <c r="A5" s="23" t="n">
        <v>1</v>
      </c>
      <c r="B5" s="24" t="s">
        <v>57</v>
      </c>
      <c r="C5" s="24" t="s">
        <v>58</v>
      </c>
      <c r="D5" s="23" t="s">
        <v>18</v>
      </c>
      <c r="E5" s="23" t="s">
        <v>59</v>
      </c>
      <c r="F5" s="24" t="s">
        <v>60</v>
      </c>
    </row>
    <row r="6" customFormat="false" ht="15" hidden="false" customHeight="false" outlineLevel="0" collapsed="false">
      <c r="A6" s="23" t="n">
        <v>2</v>
      </c>
      <c r="B6" s="24" t="s">
        <v>57</v>
      </c>
      <c r="C6" s="24" t="s">
        <v>61</v>
      </c>
      <c r="D6" s="23" t="s">
        <v>18</v>
      </c>
      <c r="E6" s="23" t="s">
        <v>37</v>
      </c>
      <c r="F6" s="24" t="s">
        <v>62</v>
      </c>
    </row>
    <row r="7" customFormat="false" ht="15" hidden="false" customHeight="false" outlineLevel="0" collapsed="false">
      <c r="A7" s="23" t="n">
        <v>3</v>
      </c>
      <c r="B7" s="24" t="s">
        <v>57</v>
      </c>
      <c r="C7" s="24" t="s">
        <v>63</v>
      </c>
      <c r="D7" s="23" t="s">
        <v>18</v>
      </c>
      <c r="E7" s="23" t="s">
        <v>37</v>
      </c>
      <c r="F7" s="24" t="s">
        <v>64</v>
      </c>
    </row>
    <row r="8" customFormat="false" ht="15" hidden="false" customHeight="false" outlineLevel="0" collapsed="false">
      <c r="A8" s="23" t="n">
        <v>4</v>
      </c>
      <c r="B8" s="24" t="s">
        <v>57</v>
      </c>
      <c r="C8" s="24" t="s">
        <v>65</v>
      </c>
      <c r="D8" s="23" t="s">
        <v>18</v>
      </c>
      <c r="E8" s="23" t="s">
        <v>59</v>
      </c>
      <c r="F8" s="24" t="s">
        <v>66</v>
      </c>
    </row>
    <row r="9" customFormat="false" ht="15" hidden="false" customHeight="false" outlineLevel="0" collapsed="false">
      <c r="A9" s="23" t="n">
        <v>5</v>
      </c>
      <c r="B9" s="24" t="s">
        <v>57</v>
      </c>
      <c r="C9" s="24" t="s">
        <v>67</v>
      </c>
      <c r="D9" s="23" t="s">
        <v>18</v>
      </c>
      <c r="E9" s="23" t="s">
        <v>59</v>
      </c>
      <c r="F9" s="24" t="s">
        <v>68</v>
      </c>
    </row>
    <row r="10" customFormat="false" ht="15" hidden="false" customHeight="false" outlineLevel="0" collapsed="false">
      <c r="A10" s="23" t="n">
        <v>6</v>
      </c>
      <c r="B10" s="24" t="s">
        <v>69</v>
      </c>
      <c r="C10" s="24" t="s">
        <v>70</v>
      </c>
      <c r="D10" s="23" t="s">
        <v>18</v>
      </c>
      <c r="E10" s="23" t="s">
        <v>59</v>
      </c>
      <c r="F10" s="24"/>
    </row>
    <row r="11" customFormat="false" ht="15" hidden="false" customHeight="false" outlineLevel="0" collapsed="false">
      <c r="A11" s="23" t="n">
        <v>7</v>
      </c>
      <c r="B11" s="24" t="s">
        <v>69</v>
      </c>
      <c r="C11" s="24" t="s">
        <v>71</v>
      </c>
      <c r="D11" s="23" t="s">
        <v>18</v>
      </c>
      <c r="E11" s="23" t="s">
        <v>59</v>
      </c>
      <c r="F11" s="24"/>
    </row>
    <row r="12" customFormat="false" ht="15" hidden="false" customHeight="false" outlineLevel="0" collapsed="false">
      <c r="A12" s="23" t="n">
        <v>8</v>
      </c>
      <c r="B12" s="24" t="s">
        <v>69</v>
      </c>
      <c r="C12" s="24" t="s">
        <v>72</v>
      </c>
      <c r="D12" s="23" t="s">
        <v>18</v>
      </c>
      <c r="E12" s="23" t="s">
        <v>37</v>
      </c>
      <c r="F12" s="24"/>
    </row>
    <row r="13" customFormat="false" ht="15" hidden="false" customHeight="false" outlineLevel="0" collapsed="false">
      <c r="A13" s="23" t="n">
        <v>9</v>
      </c>
      <c r="B13" s="24" t="s">
        <v>69</v>
      </c>
      <c r="C13" s="24" t="s">
        <v>73</v>
      </c>
      <c r="D13" s="23" t="s">
        <v>20</v>
      </c>
      <c r="E13" s="23" t="s">
        <v>37</v>
      </c>
      <c r="F13" s="24"/>
    </row>
    <row r="14" customFormat="false" ht="15" hidden="false" customHeight="false" outlineLevel="0" collapsed="false">
      <c r="A14" s="23" t="n">
        <v>10</v>
      </c>
      <c r="B14" s="24" t="s">
        <v>69</v>
      </c>
      <c r="C14" s="24" t="s">
        <v>74</v>
      </c>
      <c r="D14" s="23" t="s">
        <v>20</v>
      </c>
      <c r="E14" s="23" t="s">
        <v>37</v>
      </c>
      <c r="F14" s="24"/>
    </row>
    <row r="15" customFormat="false" ht="15" hidden="false" customHeight="false" outlineLevel="0" collapsed="false">
      <c r="A15" s="23" t="n">
        <v>11</v>
      </c>
      <c r="B15" s="24" t="s">
        <v>75</v>
      </c>
      <c r="C15" s="24" t="s">
        <v>76</v>
      </c>
      <c r="D15" s="23" t="s">
        <v>18</v>
      </c>
      <c r="E15" s="23" t="s">
        <v>37</v>
      </c>
      <c r="F15" s="24"/>
    </row>
    <row r="16" customFormat="false" ht="15" hidden="false" customHeight="false" outlineLevel="0" collapsed="false">
      <c r="A16" s="23" t="n">
        <v>12</v>
      </c>
      <c r="B16" s="24" t="s">
        <v>75</v>
      </c>
      <c r="C16" s="24" t="s">
        <v>77</v>
      </c>
      <c r="D16" s="23" t="s">
        <v>18</v>
      </c>
      <c r="E16" s="23" t="s">
        <v>37</v>
      </c>
      <c r="F16" s="24"/>
    </row>
    <row r="17" customFormat="false" ht="15" hidden="false" customHeight="false" outlineLevel="0" collapsed="false">
      <c r="A17" s="23" t="n">
        <v>13</v>
      </c>
      <c r="B17" s="24" t="s">
        <v>75</v>
      </c>
      <c r="C17" s="24" t="s">
        <v>78</v>
      </c>
      <c r="D17" s="23" t="s">
        <v>18</v>
      </c>
      <c r="E17" s="23" t="s">
        <v>37</v>
      </c>
      <c r="F17" s="24"/>
    </row>
    <row r="18" customFormat="false" ht="15" hidden="false" customHeight="false" outlineLevel="0" collapsed="false">
      <c r="A18" s="23" t="n">
        <v>14</v>
      </c>
      <c r="B18" s="24" t="s">
        <v>75</v>
      </c>
      <c r="C18" s="24" t="s">
        <v>79</v>
      </c>
      <c r="D18" s="23" t="s">
        <v>18</v>
      </c>
      <c r="E18" s="23" t="s">
        <v>37</v>
      </c>
      <c r="F18" s="24"/>
    </row>
    <row r="19" customFormat="false" ht="15" hidden="false" customHeight="false" outlineLevel="0" collapsed="false">
      <c r="A19" s="23" t="n">
        <v>15</v>
      </c>
      <c r="B19" s="24" t="s">
        <v>75</v>
      </c>
      <c r="C19" s="24" t="s">
        <v>80</v>
      </c>
      <c r="D19" s="23" t="s">
        <v>18</v>
      </c>
      <c r="E19" s="23" t="s">
        <v>37</v>
      </c>
      <c r="F19" s="24"/>
    </row>
    <row r="20" customFormat="false" ht="15" hidden="false" customHeight="false" outlineLevel="0" collapsed="false">
      <c r="A20" s="23" t="n">
        <v>16</v>
      </c>
      <c r="B20" s="24" t="s">
        <v>75</v>
      </c>
      <c r="C20" s="24" t="s">
        <v>81</v>
      </c>
      <c r="D20" s="23" t="s">
        <v>18</v>
      </c>
      <c r="E20" s="23" t="s">
        <v>37</v>
      </c>
      <c r="F20" s="24"/>
    </row>
    <row r="21" customFormat="false" ht="15" hidden="false" customHeight="false" outlineLevel="0" collapsed="false">
      <c r="A21" s="23" t="n">
        <v>17</v>
      </c>
      <c r="B21" s="24" t="s">
        <v>75</v>
      </c>
      <c r="C21" s="24" t="s">
        <v>82</v>
      </c>
      <c r="D21" s="23" t="s">
        <v>18</v>
      </c>
      <c r="E21" s="23" t="s">
        <v>37</v>
      </c>
      <c r="F21" s="24"/>
    </row>
    <row r="22" customFormat="false" ht="15" hidden="false" customHeight="false" outlineLevel="0" collapsed="false">
      <c r="A22" s="23" t="n">
        <v>18</v>
      </c>
      <c r="B22" s="24" t="s">
        <v>75</v>
      </c>
      <c r="C22" s="24" t="s">
        <v>83</v>
      </c>
      <c r="D22" s="23" t="s">
        <v>18</v>
      </c>
      <c r="E22" s="23" t="s">
        <v>37</v>
      </c>
      <c r="F22" s="24"/>
    </row>
    <row r="23" customFormat="false" ht="15" hidden="false" customHeight="false" outlineLevel="0" collapsed="false">
      <c r="A23" s="23" t="n">
        <v>19</v>
      </c>
      <c r="B23" s="24" t="s">
        <v>75</v>
      </c>
      <c r="C23" s="24" t="s">
        <v>84</v>
      </c>
      <c r="D23" s="23" t="s">
        <v>18</v>
      </c>
      <c r="E23" s="23" t="s">
        <v>37</v>
      </c>
      <c r="F23" s="24"/>
    </row>
    <row r="24" customFormat="false" ht="15" hidden="false" customHeight="false" outlineLevel="0" collapsed="false">
      <c r="A24" s="23" t="n">
        <v>20</v>
      </c>
      <c r="B24" s="24" t="s">
        <v>75</v>
      </c>
      <c r="C24" s="24" t="s">
        <v>85</v>
      </c>
      <c r="D24" s="23" t="s">
        <v>18</v>
      </c>
      <c r="E24" s="23" t="s">
        <v>37</v>
      </c>
      <c r="F24" s="24"/>
    </row>
    <row r="25" customFormat="false" ht="15" hidden="false" customHeight="false" outlineLevel="0" collapsed="false">
      <c r="A25" s="23" t="n">
        <v>21</v>
      </c>
      <c r="B25" s="24" t="s">
        <v>75</v>
      </c>
      <c r="C25" s="24" t="s">
        <v>86</v>
      </c>
      <c r="D25" s="23" t="s">
        <v>18</v>
      </c>
      <c r="E25" s="23" t="s">
        <v>37</v>
      </c>
      <c r="F25" s="24"/>
    </row>
    <row r="26" customFormat="false" ht="15" hidden="false" customHeight="false" outlineLevel="0" collapsed="false">
      <c r="A26" s="23" t="n">
        <v>22</v>
      </c>
      <c r="B26" s="24" t="s">
        <v>75</v>
      </c>
      <c r="C26" s="24" t="s">
        <v>87</v>
      </c>
      <c r="D26" s="23" t="s">
        <v>18</v>
      </c>
      <c r="E26" s="23" t="s">
        <v>37</v>
      </c>
      <c r="F26" s="24"/>
    </row>
    <row r="27" customFormat="false" ht="15" hidden="false" customHeight="false" outlineLevel="0" collapsed="false">
      <c r="A27" s="23" t="n">
        <v>23</v>
      </c>
      <c r="B27" s="24" t="s">
        <v>75</v>
      </c>
      <c r="C27" s="24" t="s">
        <v>88</v>
      </c>
      <c r="D27" s="23" t="s">
        <v>18</v>
      </c>
      <c r="E27" s="23" t="s">
        <v>37</v>
      </c>
      <c r="F27" s="24"/>
    </row>
    <row r="28" customFormat="false" ht="15" hidden="false" customHeight="false" outlineLevel="0" collapsed="false">
      <c r="A28" s="23" t="n">
        <v>24</v>
      </c>
      <c r="B28" s="24" t="s">
        <v>75</v>
      </c>
      <c r="C28" s="24" t="s">
        <v>89</v>
      </c>
      <c r="D28" s="23" t="s">
        <v>18</v>
      </c>
      <c r="E28" s="23" t="s">
        <v>37</v>
      </c>
      <c r="F28" s="24"/>
    </row>
    <row r="29" customFormat="false" ht="15" hidden="false" customHeight="false" outlineLevel="0" collapsed="false">
      <c r="A29" s="23"/>
      <c r="B29" s="24"/>
      <c r="C29" s="24"/>
      <c r="D29" s="23"/>
      <c r="E29" s="23"/>
      <c r="F29" s="24"/>
    </row>
    <row r="30" customFormat="false" ht="15" hidden="false" customHeight="false" outlineLevel="0" collapsed="false">
      <c r="A30" s="23"/>
      <c r="B30" s="24"/>
      <c r="C30" s="24"/>
      <c r="D30" s="23"/>
      <c r="E30" s="23"/>
      <c r="F30" s="24"/>
    </row>
    <row r="31" customFormat="false" ht="15" hidden="false" customHeight="false" outlineLevel="0" collapsed="false">
      <c r="A31" s="23"/>
      <c r="B31" s="24"/>
      <c r="C31" s="24"/>
      <c r="D31" s="23"/>
      <c r="E31" s="23"/>
      <c r="F31" s="24"/>
    </row>
    <row r="32" customFormat="false" ht="15" hidden="false" customHeight="false" outlineLevel="0" collapsed="false">
      <c r="A32" s="23"/>
      <c r="B32" s="24"/>
      <c r="C32" s="24"/>
      <c r="D32" s="23"/>
      <c r="E32" s="23"/>
      <c r="F32" s="24"/>
    </row>
    <row r="33" customFormat="false" ht="15" hidden="false" customHeight="false" outlineLevel="0" collapsed="false">
      <c r="A33" s="23"/>
      <c r="B33" s="24"/>
      <c r="C33" s="24"/>
      <c r="D33" s="23"/>
      <c r="E33" s="23"/>
      <c r="F33" s="24"/>
    </row>
    <row r="34" customFormat="false" ht="15" hidden="false" customHeight="false" outlineLevel="0" collapsed="false">
      <c r="A34" s="23"/>
      <c r="B34" s="24"/>
      <c r="C34" s="24"/>
      <c r="D34" s="23"/>
      <c r="E34" s="23"/>
      <c r="F34" s="24"/>
    </row>
    <row r="35" customFormat="false" ht="15" hidden="false" customHeight="false" outlineLevel="0" collapsed="false">
      <c r="A35" s="23"/>
      <c r="B35" s="24"/>
      <c r="C35" s="24"/>
      <c r="D35" s="23"/>
      <c r="E35" s="23"/>
      <c r="F35" s="24"/>
    </row>
    <row r="36" customFormat="false" ht="15" hidden="false" customHeight="false" outlineLevel="0" collapsed="false">
      <c r="A36" s="23"/>
      <c r="B36" s="24"/>
      <c r="C36" s="24"/>
      <c r="D36" s="23"/>
      <c r="E36" s="23"/>
      <c r="F36" s="24"/>
    </row>
    <row r="37" customFormat="false" ht="15" hidden="false" customHeight="false" outlineLevel="0" collapsed="false">
      <c r="A37" s="23"/>
      <c r="B37" s="24"/>
      <c r="C37" s="24"/>
      <c r="D37" s="23"/>
      <c r="E37" s="23"/>
      <c r="F37" s="24"/>
    </row>
    <row r="38" customFormat="false" ht="15" hidden="false" customHeight="false" outlineLevel="0" collapsed="false">
      <c r="A38" s="23"/>
      <c r="B38" s="24"/>
      <c r="C38" s="24"/>
      <c r="D38" s="23"/>
      <c r="E38" s="23"/>
      <c r="F38" s="24"/>
    </row>
    <row r="39" customFormat="false" ht="15" hidden="false" customHeight="false" outlineLevel="0" collapsed="false">
      <c r="A39" s="25"/>
      <c r="B39" s="26"/>
      <c r="C39" s="26"/>
      <c r="D39" s="25"/>
      <c r="E39" s="25"/>
      <c r="F39" s="26"/>
    </row>
    <row r="40" customFormat="false" ht="15" hidden="false" customHeight="false" outlineLevel="0" collapsed="false">
      <c r="A40" s="25"/>
      <c r="B40" s="26"/>
      <c r="C40" s="26"/>
      <c r="D40" s="25"/>
      <c r="E40" s="25"/>
      <c r="F40" s="26"/>
    </row>
    <row r="41" customFormat="false" ht="15" hidden="false" customHeight="false" outlineLevel="0" collapsed="false">
      <c r="A41" s="25"/>
      <c r="B41" s="26"/>
      <c r="C41" s="26"/>
      <c r="D41" s="25"/>
      <c r="E41" s="25"/>
      <c r="F41" s="26"/>
    </row>
    <row r="42" customFormat="false" ht="15" hidden="false" customHeight="false" outlineLevel="0" collapsed="false">
      <c r="A42" s="25"/>
      <c r="B42" s="26"/>
      <c r="C42" s="26"/>
      <c r="D42" s="25"/>
      <c r="E42" s="25"/>
      <c r="F42" s="26"/>
    </row>
    <row r="43" customFormat="false" ht="15" hidden="false" customHeight="false" outlineLevel="0" collapsed="false">
      <c r="A43" s="25"/>
      <c r="B43" s="26"/>
      <c r="C43" s="26"/>
      <c r="D43" s="25"/>
      <c r="E43" s="25"/>
      <c r="F43" s="26"/>
    </row>
    <row r="44" customFormat="false" ht="15" hidden="false" customHeight="false" outlineLevel="0" collapsed="false">
      <c r="A44" s="25"/>
      <c r="B44" s="26"/>
      <c r="C44" s="26"/>
      <c r="D44" s="25"/>
      <c r="E44" s="25"/>
      <c r="F44" s="26"/>
    </row>
    <row r="45" customFormat="false" ht="15" hidden="false" customHeight="false" outlineLevel="0" collapsed="false">
      <c r="A45" s="25"/>
      <c r="B45" s="26"/>
      <c r="C45" s="26"/>
      <c r="D45" s="25"/>
      <c r="E45" s="25"/>
      <c r="F45" s="26"/>
    </row>
    <row r="46" customFormat="false" ht="15" hidden="false" customHeight="false" outlineLevel="0" collapsed="false">
      <c r="A46" s="25"/>
      <c r="B46" s="26"/>
      <c r="C46" s="26"/>
      <c r="D46" s="25"/>
      <c r="E46" s="25"/>
      <c r="F46" s="26"/>
    </row>
    <row r="47" customFormat="false" ht="15" hidden="false" customHeight="false" outlineLevel="0" collapsed="false">
      <c r="A47" s="25"/>
      <c r="B47" s="26"/>
      <c r="C47" s="26"/>
      <c r="D47" s="25"/>
      <c r="E47" s="25"/>
      <c r="F47" s="26"/>
    </row>
    <row r="48" customFormat="false" ht="15" hidden="false" customHeight="false" outlineLevel="0" collapsed="false">
      <c r="A48" s="25"/>
      <c r="B48" s="26"/>
      <c r="C48" s="26"/>
      <c r="D48" s="25"/>
      <c r="E48" s="25"/>
      <c r="F48" s="26"/>
    </row>
    <row r="49" customFormat="false" ht="15" hidden="false" customHeight="false" outlineLevel="0" collapsed="false">
      <c r="A49" s="25"/>
      <c r="B49" s="26"/>
      <c r="C49" s="26"/>
      <c r="D49" s="25"/>
      <c r="E49" s="25"/>
      <c r="F49" s="26"/>
    </row>
    <row r="50" customFormat="false" ht="15" hidden="false" customHeight="false" outlineLevel="0" collapsed="false">
      <c r="A50" s="25"/>
      <c r="B50" s="26"/>
      <c r="C50" s="26"/>
      <c r="D50" s="25"/>
      <c r="E50" s="25"/>
      <c r="F50" s="26"/>
    </row>
    <row r="51" customFormat="false" ht="15" hidden="false" customHeight="false" outlineLevel="0" collapsed="false">
      <c r="A51" s="25"/>
      <c r="B51" s="26"/>
      <c r="C51" s="26"/>
      <c r="D51" s="25"/>
      <c r="E51" s="25"/>
      <c r="F51" s="26"/>
    </row>
    <row r="52" customFormat="false" ht="15" hidden="false" customHeight="false" outlineLevel="0" collapsed="false">
      <c r="A52" s="25"/>
      <c r="B52" s="26"/>
      <c r="C52" s="26"/>
      <c r="D52" s="25"/>
      <c r="E52" s="25"/>
      <c r="F52" s="26"/>
    </row>
    <row r="53" customFormat="false" ht="15" hidden="false" customHeight="false" outlineLevel="0" collapsed="false">
      <c r="A53" s="25"/>
      <c r="B53" s="26"/>
      <c r="C53" s="26"/>
      <c r="D53" s="25"/>
      <c r="E53" s="25"/>
      <c r="F53" s="26"/>
    </row>
    <row r="54" customFormat="false" ht="15" hidden="false" customHeight="false" outlineLevel="0" collapsed="false">
      <c r="A54" s="25"/>
      <c r="B54" s="26"/>
      <c r="C54" s="26"/>
      <c r="D54" s="25"/>
      <c r="E54" s="25"/>
      <c r="F54" s="26"/>
    </row>
    <row r="55" customFormat="false" ht="15" hidden="false" customHeight="false" outlineLevel="0" collapsed="false">
      <c r="A55" s="25"/>
      <c r="B55" s="26"/>
      <c r="C55" s="26"/>
      <c r="D55" s="25"/>
      <c r="E55" s="25"/>
      <c r="F55" s="26"/>
    </row>
    <row r="56" customFormat="false" ht="15" hidden="false" customHeight="false" outlineLevel="0" collapsed="false">
      <c r="A56" s="25"/>
      <c r="B56" s="26"/>
      <c r="C56" s="26"/>
      <c r="D56" s="25"/>
      <c r="E56" s="25"/>
      <c r="F56" s="26"/>
    </row>
    <row r="57" customFormat="false" ht="15" hidden="false" customHeight="false" outlineLevel="0" collapsed="false">
      <c r="A57" s="25"/>
      <c r="B57" s="26"/>
      <c r="C57" s="26"/>
      <c r="D57" s="25"/>
      <c r="E57" s="25"/>
      <c r="F57" s="26"/>
    </row>
    <row r="58" customFormat="false" ht="15" hidden="false" customHeight="false" outlineLevel="0" collapsed="false">
      <c r="A58" s="25"/>
      <c r="B58" s="26"/>
      <c r="C58" s="26"/>
      <c r="D58" s="25"/>
      <c r="E58" s="25"/>
      <c r="F58" s="26"/>
    </row>
    <row r="59" customFormat="false" ht="15" hidden="false" customHeight="false" outlineLevel="0" collapsed="false">
      <c r="A59" s="25"/>
      <c r="B59" s="26"/>
      <c r="C59" s="26"/>
      <c r="D59" s="25"/>
      <c r="E59" s="25"/>
      <c r="F59" s="26"/>
    </row>
    <row r="60" customFormat="false" ht="15" hidden="false" customHeight="false" outlineLevel="0" collapsed="false">
      <c r="A60" s="25"/>
      <c r="B60" s="26"/>
      <c r="C60" s="26"/>
      <c r="D60" s="25"/>
      <c r="E60" s="25"/>
      <c r="F60" s="26"/>
    </row>
    <row r="61" customFormat="false" ht="15" hidden="false" customHeight="false" outlineLevel="0" collapsed="false">
      <c r="A61" s="25"/>
      <c r="B61" s="26"/>
      <c r="C61" s="26"/>
      <c r="D61" s="25"/>
      <c r="E61" s="25"/>
      <c r="F61" s="26"/>
    </row>
    <row r="62" customFormat="false" ht="15" hidden="false" customHeight="false" outlineLevel="0" collapsed="false">
      <c r="A62" s="25"/>
      <c r="B62" s="26"/>
      <c r="C62" s="26"/>
      <c r="D62" s="25"/>
      <c r="E62" s="25"/>
      <c r="F62" s="26"/>
    </row>
    <row r="63" customFormat="false" ht="15" hidden="false" customHeight="false" outlineLevel="0" collapsed="false">
      <c r="A63" s="25"/>
      <c r="B63" s="26"/>
      <c r="C63" s="26"/>
      <c r="D63" s="25"/>
      <c r="E63" s="25"/>
      <c r="F63" s="26"/>
    </row>
    <row r="64" customFormat="false" ht="15" hidden="false" customHeight="false" outlineLevel="0" collapsed="false">
      <c r="A64" s="25"/>
      <c r="B64" s="26"/>
      <c r="C64" s="26"/>
      <c r="D64" s="25"/>
      <c r="E64" s="25"/>
      <c r="F64" s="26"/>
    </row>
    <row r="65" customFormat="false" ht="15" hidden="false" customHeight="false" outlineLevel="0" collapsed="false">
      <c r="A65" s="25"/>
      <c r="B65" s="26"/>
      <c r="C65" s="26"/>
      <c r="D65" s="25"/>
      <c r="E65" s="25"/>
      <c r="F65" s="26"/>
    </row>
    <row r="66" customFormat="false" ht="15" hidden="false" customHeight="false" outlineLevel="0" collapsed="false">
      <c r="A66" s="25"/>
      <c r="B66" s="26"/>
      <c r="C66" s="26"/>
      <c r="D66" s="25"/>
      <c r="E66" s="25"/>
      <c r="F66" s="26"/>
    </row>
    <row r="67" customFormat="false" ht="15" hidden="false" customHeight="false" outlineLevel="0" collapsed="false">
      <c r="A67" s="25"/>
      <c r="B67" s="26"/>
      <c r="C67" s="26"/>
      <c r="D67" s="25"/>
      <c r="E67" s="25"/>
      <c r="F67" s="26"/>
    </row>
    <row r="68" customFormat="false" ht="15" hidden="false" customHeight="false" outlineLevel="0" collapsed="false">
      <c r="A68" s="25"/>
      <c r="B68" s="26"/>
      <c r="C68" s="26"/>
      <c r="D68" s="25"/>
      <c r="E68" s="25"/>
      <c r="F68" s="26"/>
    </row>
    <row r="69" customFormat="false" ht="15" hidden="false" customHeight="false" outlineLevel="0" collapsed="false">
      <c r="A69" s="25"/>
      <c r="B69" s="26"/>
      <c r="C69" s="26"/>
      <c r="D69" s="25"/>
      <c r="E69" s="25"/>
      <c r="F69" s="26"/>
    </row>
    <row r="70" customFormat="false" ht="15" hidden="false" customHeight="false" outlineLevel="0" collapsed="false">
      <c r="A70" s="25"/>
      <c r="B70" s="26"/>
      <c r="C70" s="26"/>
      <c r="D70" s="25"/>
      <c r="E70" s="25"/>
      <c r="F70" s="26"/>
    </row>
    <row r="71" customFormat="false" ht="15" hidden="false" customHeight="false" outlineLevel="0" collapsed="false">
      <c r="A71" s="25"/>
      <c r="B71" s="26"/>
      <c r="C71" s="26"/>
      <c r="D71" s="25"/>
      <c r="E71" s="25"/>
      <c r="F71" s="26"/>
    </row>
    <row r="72" customFormat="false" ht="15" hidden="false" customHeight="false" outlineLevel="0" collapsed="false">
      <c r="A72" s="25"/>
      <c r="B72" s="26"/>
      <c r="C72" s="26"/>
      <c r="D72" s="25"/>
      <c r="E72" s="25"/>
      <c r="F72" s="26"/>
    </row>
    <row r="73" customFormat="false" ht="15" hidden="false" customHeight="false" outlineLevel="0" collapsed="false">
      <c r="A73" s="25"/>
      <c r="B73" s="26"/>
      <c r="C73" s="26"/>
      <c r="D73" s="25"/>
      <c r="E73" s="25"/>
      <c r="F73" s="26"/>
    </row>
    <row r="74" customFormat="false" ht="15" hidden="false" customHeight="false" outlineLevel="0" collapsed="false">
      <c r="A74" s="25"/>
      <c r="B74" s="26"/>
      <c r="C74" s="26"/>
      <c r="D74" s="25"/>
      <c r="E74" s="25"/>
      <c r="F74" s="26"/>
    </row>
    <row r="75" customFormat="false" ht="15" hidden="false" customHeight="false" outlineLevel="0" collapsed="false">
      <c r="A75" s="25"/>
      <c r="B75" s="26"/>
      <c r="C75" s="26"/>
      <c r="D75" s="25"/>
      <c r="E75" s="25"/>
      <c r="F75" s="26"/>
    </row>
    <row r="76" customFormat="false" ht="15" hidden="false" customHeight="false" outlineLevel="0" collapsed="false">
      <c r="A76" s="25"/>
      <c r="B76" s="26"/>
      <c r="C76" s="26"/>
      <c r="D76" s="25"/>
      <c r="E76" s="25"/>
      <c r="F76" s="26"/>
    </row>
    <row r="77" customFormat="false" ht="15" hidden="false" customHeight="false" outlineLevel="0" collapsed="false">
      <c r="A77" s="25"/>
      <c r="B77" s="26"/>
      <c r="C77" s="26"/>
      <c r="D77" s="25"/>
      <c r="E77" s="25"/>
      <c r="F77" s="26"/>
    </row>
    <row r="78" customFormat="false" ht="15" hidden="false" customHeight="false" outlineLevel="0" collapsed="false">
      <c r="A78" s="25"/>
      <c r="B78" s="26"/>
      <c r="C78" s="26"/>
      <c r="D78" s="25"/>
      <c r="E78" s="25"/>
      <c r="F78" s="26"/>
    </row>
    <row r="79" customFormat="false" ht="15" hidden="false" customHeight="false" outlineLevel="0" collapsed="false">
      <c r="A79" s="25"/>
      <c r="B79" s="26"/>
      <c r="C79" s="26"/>
      <c r="D79" s="25"/>
      <c r="E79" s="25"/>
      <c r="F79" s="26"/>
    </row>
    <row r="80" customFormat="false" ht="15" hidden="false" customHeight="false" outlineLevel="0" collapsed="false">
      <c r="A80" s="25"/>
      <c r="B80" s="26"/>
      <c r="C80" s="26"/>
      <c r="D80" s="25"/>
      <c r="E80" s="25"/>
      <c r="F80" s="26"/>
    </row>
  </sheetData>
  <conditionalFormatting sqref="E5:E80">
    <cfRule type="cellIs" priority="2" operator="equal" aboveAverage="0" equalAverage="0" bottom="0" percent="0" rank="0" text="" dxfId="0">
      <formula>"Hecho"</formula>
    </cfRule>
    <cfRule type="cellIs" priority="3" operator="equal" aboveAverage="0" equalAverage="0" bottom="0" percent="0" rank="0" text="" dxfId="1">
      <formula>"En curso"</formula>
    </cfRule>
    <cfRule type="cellIs" priority="4" operator="equal" aboveAverage="0" equalAverage="0" bottom="0" percent="0" rank="0" text="" dxfId="2">
      <formula>"Pendiente"</formula>
    </cfRule>
  </conditionalFormatting>
  <dataValidations count="2">
    <dataValidation allowBlank="true" errorStyle="stop" operator="between" showDropDown="false" showErrorMessage="false" showInputMessage="false" sqref="E5:E80" type="list">
      <formula1>"Pendiente,En curso,Hecho"</formula1>
      <formula2>0</formula2>
    </dataValidation>
    <dataValidation allowBlank="true" errorStyle="stop" operator="between" showDropDown="false" showErrorMessage="false" showInputMessage="false" sqref="D5:D80" type="list">
      <formula1>"Número 1,Número 2,Número 3,Todos"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62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6" min="6" style="0" width="38"/>
  </cols>
  <sheetData>
    <row r="1" customFormat="false" ht="17.35" hidden="false" customHeight="false" outlineLevel="0" collapsed="false">
      <c r="A1" s="19" t="s">
        <v>10</v>
      </c>
    </row>
    <row r="2" customFormat="false" ht="15" hidden="false" customHeight="false" outlineLevel="0" collapsed="false">
      <c r="A2" s="20" t="s">
        <v>28</v>
      </c>
      <c r="B2" s="21" t="n">
        <f aca="false">IF(COUNTA(C5:C80)=0,0,COUNTIF(E5:E80,"Hecho")/COUNTA(C5:C80))</f>
        <v>0</v>
      </c>
      <c r="C2" s="22" t="str">
        <f aca="false">COUNTIF(E5:E80,"Hecho")&amp;" de "&amp;COUNTA(C5:C80)&amp;" apartados hechos"</f>
        <v>0 de 24 apartados hechos</v>
      </c>
    </row>
    <row r="4" customFormat="false" ht="15" hidden="false" customHeight="false" outlineLevel="0" collapsed="false">
      <c r="A4" s="3" t="s">
        <v>29</v>
      </c>
      <c r="B4" s="3" t="s">
        <v>30</v>
      </c>
      <c r="C4" s="3" t="s">
        <v>31</v>
      </c>
      <c r="D4" s="3" t="s">
        <v>32</v>
      </c>
      <c r="E4" s="3" t="s">
        <v>33</v>
      </c>
      <c r="F4" s="3" t="s">
        <v>34</v>
      </c>
    </row>
    <row r="5" customFormat="false" ht="15" hidden="false" customHeight="false" outlineLevel="0" collapsed="false">
      <c r="A5" s="23" t="n">
        <v>1</v>
      </c>
      <c r="B5" s="24" t="s">
        <v>90</v>
      </c>
      <c r="C5" s="24" t="s">
        <v>91</v>
      </c>
      <c r="D5" s="23" t="s">
        <v>18</v>
      </c>
      <c r="E5" s="23" t="s">
        <v>37</v>
      </c>
      <c r="F5" s="24"/>
    </row>
    <row r="6" customFormat="false" ht="15" hidden="false" customHeight="false" outlineLevel="0" collapsed="false">
      <c r="A6" s="23" t="n">
        <v>2</v>
      </c>
      <c r="B6" s="24" t="s">
        <v>90</v>
      </c>
      <c r="C6" s="24" t="s">
        <v>92</v>
      </c>
      <c r="D6" s="23" t="s">
        <v>39</v>
      </c>
      <c r="E6" s="23" t="s">
        <v>37</v>
      </c>
      <c r="F6" s="24"/>
    </row>
    <row r="7" customFormat="false" ht="15" hidden="false" customHeight="false" outlineLevel="0" collapsed="false">
      <c r="A7" s="23" t="n">
        <v>3</v>
      </c>
      <c r="B7" s="24" t="s">
        <v>90</v>
      </c>
      <c r="C7" s="24" t="s">
        <v>93</v>
      </c>
      <c r="D7" s="23" t="s">
        <v>18</v>
      </c>
      <c r="E7" s="23" t="s">
        <v>37</v>
      </c>
      <c r="F7" s="24"/>
    </row>
    <row r="8" customFormat="false" ht="15" hidden="false" customHeight="false" outlineLevel="0" collapsed="false">
      <c r="A8" s="23" t="n">
        <v>4</v>
      </c>
      <c r="B8" s="24" t="s">
        <v>90</v>
      </c>
      <c r="C8" s="24" t="s">
        <v>94</v>
      </c>
      <c r="D8" s="23" t="s">
        <v>18</v>
      </c>
      <c r="E8" s="23" t="s">
        <v>37</v>
      </c>
      <c r="F8" s="24"/>
    </row>
    <row r="9" customFormat="false" ht="15" hidden="false" customHeight="false" outlineLevel="0" collapsed="false">
      <c r="A9" s="23" t="n">
        <v>5</v>
      </c>
      <c r="B9" s="24" t="s">
        <v>95</v>
      </c>
      <c r="C9" s="24" t="s">
        <v>96</v>
      </c>
      <c r="D9" s="23" t="s">
        <v>18</v>
      </c>
      <c r="E9" s="23" t="s">
        <v>37</v>
      </c>
      <c r="F9" s="24"/>
    </row>
    <row r="10" customFormat="false" ht="15" hidden="false" customHeight="false" outlineLevel="0" collapsed="false">
      <c r="A10" s="23" t="n">
        <v>6</v>
      </c>
      <c r="B10" s="24" t="s">
        <v>95</v>
      </c>
      <c r="C10" s="24" t="s">
        <v>97</v>
      </c>
      <c r="D10" s="23" t="s">
        <v>18</v>
      </c>
      <c r="E10" s="23" t="s">
        <v>37</v>
      </c>
      <c r="F10" s="24"/>
    </row>
    <row r="11" customFormat="false" ht="15" hidden="false" customHeight="false" outlineLevel="0" collapsed="false">
      <c r="A11" s="23" t="n">
        <v>7</v>
      </c>
      <c r="B11" s="24" t="s">
        <v>95</v>
      </c>
      <c r="C11" s="24" t="s">
        <v>98</v>
      </c>
      <c r="D11" s="23" t="s">
        <v>18</v>
      </c>
      <c r="E11" s="23" t="s">
        <v>37</v>
      </c>
      <c r="F11" s="24"/>
    </row>
    <row r="12" customFormat="false" ht="15" hidden="false" customHeight="false" outlineLevel="0" collapsed="false">
      <c r="A12" s="23" t="n">
        <v>8</v>
      </c>
      <c r="B12" s="24" t="s">
        <v>99</v>
      </c>
      <c r="C12" s="24" t="s">
        <v>100</v>
      </c>
      <c r="D12" s="23" t="s">
        <v>18</v>
      </c>
      <c r="E12" s="23" t="s">
        <v>37</v>
      </c>
      <c r="F12" s="24"/>
    </row>
    <row r="13" customFormat="false" ht="15" hidden="false" customHeight="false" outlineLevel="0" collapsed="false">
      <c r="A13" s="23" t="n">
        <v>9</v>
      </c>
      <c r="B13" s="24" t="s">
        <v>99</v>
      </c>
      <c r="C13" s="24" t="s">
        <v>101</v>
      </c>
      <c r="D13" s="23" t="s">
        <v>18</v>
      </c>
      <c r="E13" s="23" t="s">
        <v>37</v>
      </c>
      <c r="F13" s="24"/>
    </row>
    <row r="14" customFormat="false" ht="15" hidden="false" customHeight="false" outlineLevel="0" collapsed="false">
      <c r="A14" s="23" t="n">
        <v>10</v>
      </c>
      <c r="B14" s="24" t="s">
        <v>99</v>
      </c>
      <c r="C14" s="24" t="s">
        <v>102</v>
      </c>
      <c r="D14" s="23" t="s">
        <v>18</v>
      </c>
      <c r="E14" s="23" t="s">
        <v>37</v>
      </c>
      <c r="F14" s="24"/>
    </row>
    <row r="15" customFormat="false" ht="15" hidden="false" customHeight="false" outlineLevel="0" collapsed="false">
      <c r="A15" s="23" t="n">
        <v>11</v>
      </c>
      <c r="B15" s="24" t="s">
        <v>99</v>
      </c>
      <c r="C15" s="24" t="s">
        <v>103</v>
      </c>
      <c r="D15" s="23" t="s">
        <v>18</v>
      </c>
      <c r="E15" s="23" t="s">
        <v>37</v>
      </c>
      <c r="F15" s="24"/>
    </row>
    <row r="16" customFormat="false" ht="15" hidden="false" customHeight="false" outlineLevel="0" collapsed="false">
      <c r="A16" s="23" t="n">
        <v>12</v>
      </c>
      <c r="B16" s="24" t="s">
        <v>99</v>
      </c>
      <c r="C16" s="24" t="s">
        <v>104</v>
      </c>
      <c r="D16" s="23" t="s">
        <v>18</v>
      </c>
      <c r="E16" s="23" t="s">
        <v>37</v>
      </c>
      <c r="F16" s="24"/>
    </row>
    <row r="17" customFormat="false" ht="15" hidden="false" customHeight="false" outlineLevel="0" collapsed="false">
      <c r="A17" s="23" t="n">
        <v>13</v>
      </c>
      <c r="B17" s="24" t="s">
        <v>99</v>
      </c>
      <c r="C17" s="24" t="s">
        <v>105</v>
      </c>
      <c r="D17" s="23" t="s">
        <v>18</v>
      </c>
      <c r="E17" s="23" t="s">
        <v>37</v>
      </c>
      <c r="F17" s="24"/>
    </row>
    <row r="18" customFormat="false" ht="15" hidden="false" customHeight="false" outlineLevel="0" collapsed="false">
      <c r="A18" s="23" t="n">
        <v>14</v>
      </c>
      <c r="B18" s="24" t="s">
        <v>99</v>
      </c>
      <c r="C18" s="24" t="s">
        <v>106</v>
      </c>
      <c r="D18" s="23" t="s">
        <v>18</v>
      </c>
      <c r="E18" s="23" t="s">
        <v>37</v>
      </c>
      <c r="F18" s="24"/>
    </row>
    <row r="19" customFormat="false" ht="15" hidden="false" customHeight="false" outlineLevel="0" collapsed="false">
      <c r="A19" s="23" t="n">
        <v>15</v>
      </c>
      <c r="B19" s="24" t="s">
        <v>107</v>
      </c>
      <c r="C19" s="24" t="s">
        <v>108</v>
      </c>
      <c r="D19" s="23" t="s">
        <v>18</v>
      </c>
      <c r="E19" s="23" t="s">
        <v>37</v>
      </c>
      <c r="F19" s="24"/>
    </row>
    <row r="20" customFormat="false" ht="15" hidden="false" customHeight="false" outlineLevel="0" collapsed="false">
      <c r="A20" s="23" t="n">
        <v>16</v>
      </c>
      <c r="B20" s="24" t="s">
        <v>109</v>
      </c>
      <c r="C20" s="24" t="s">
        <v>110</v>
      </c>
      <c r="D20" s="23" t="s">
        <v>18</v>
      </c>
      <c r="E20" s="23" t="s">
        <v>37</v>
      </c>
      <c r="F20" s="24"/>
    </row>
    <row r="21" customFormat="false" ht="23.85" hidden="false" customHeight="false" outlineLevel="0" collapsed="false">
      <c r="A21" s="23" t="n">
        <v>17</v>
      </c>
      <c r="B21" s="24" t="s">
        <v>111</v>
      </c>
      <c r="C21" s="24" t="s">
        <v>112</v>
      </c>
      <c r="D21" s="23" t="s">
        <v>18</v>
      </c>
      <c r="E21" s="23" t="s">
        <v>37</v>
      </c>
      <c r="F21" s="24"/>
    </row>
    <row r="22" customFormat="false" ht="23.85" hidden="false" customHeight="false" outlineLevel="0" collapsed="false">
      <c r="A22" s="23" t="n">
        <v>18</v>
      </c>
      <c r="B22" s="24" t="s">
        <v>111</v>
      </c>
      <c r="C22" s="24" t="s">
        <v>113</v>
      </c>
      <c r="D22" s="23" t="s">
        <v>18</v>
      </c>
      <c r="E22" s="23" t="s">
        <v>37</v>
      </c>
      <c r="F22" s="24"/>
    </row>
    <row r="23" customFormat="false" ht="23.85" hidden="false" customHeight="false" outlineLevel="0" collapsed="false">
      <c r="A23" s="23" t="n">
        <v>19</v>
      </c>
      <c r="B23" s="24" t="s">
        <v>111</v>
      </c>
      <c r="C23" s="24" t="s">
        <v>114</v>
      </c>
      <c r="D23" s="23" t="s">
        <v>18</v>
      </c>
      <c r="E23" s="23" t="s">
        <v>37</v>
      </c>
      <c r="F23" s="24"/>
    </row>
    <row r="24" customFormat="false" ht="15" hidden="false" customHeight="false" outlineLevel="0" collapsed="false">
      <c r="A24" s="23" t="n">
        <v>20</v>
      </c>
      <c r="B24" s="24" t="s">
        <v>115</v>
      </c>
      <c r="C24" s="24" t="s">
        <v>116</v>
      </c>
      <c r="D24" s="23" t="s">
        <v>18</v>
      </c>
      <c r="E24" s="23" t="s">
        <v>37</v>
      </c>
      <c r="F24" s="24"/>
    </row>
    <row r="25" customFormat="false" ht="15" hidden="false" customHeight="false" outlineLevel="0" collapsed="false">
      <c r="A25" s="23" t="n">
        <v>21</v>
      </c>
      <c r="B25" s="24" t="s">
        <v>115</v>
      </c>
      <c r="C25" s="24" t="s">
        <v>117</v>
      </c>
      <c r="D25" s="23" t="s">
        <v>18</v>
      </c>
      <c r="E25" s="23" t="s">
        <v>37</v>
      </c>
      <c r="F25" s="24"/>
    </row>
    <row r="26" customFormat="false" ht="15" hidden="false" customHeight="false" outlineLevel="0" collapsed="false">
      <c r="A26" s="23" t="n">
        <v>22</v>
      </c>
      <c r="B26" s="24" t="s">
        <v>115</v>
      </c>
      <c r="C26" s="24" t="s">
        <v>118</v>
      </c>
      <c r="D26" s="23" t="s">
        <v>18</v>
      </c>
      <c r="E26" s="23" t="s">
        <v>37</v>
      </c>
      <c r="F26" s="24"/>
    </row>
    <row r="27" customFormat="false" ht="15" hidden="false" customHeight="false" outlineLevel="0" collapsed="false">
      <c r="A27" s="23" t="n">
        <v>23</v>
      </c>
      <c r="B27" s="24" t="s">
        <v>115</v>
      </c>
      <c r="C27" s="24" t="s">
        <v>119</v>
      </c>
      <c r="D27" s="23" t="s">
        <v>18</v>
      </c>
      <c r="E27" s="23" t="s">
        <v>37</v>
      </c>
      <c r="F27" s="24"/>
    </row>
    <row r="28" customFormat="false" ht="15" hidden="false" customHeight="false" outlineLevel="0" collapsed="false">
      <c r="A28" s="23" t="n">
        <v>24</v>
      </c>
      <c r="B28" s="24" t="s">
        <v>115</v>
      </c>
      <c r="C28" s="24" t="s">
        <v>120</v>
      </c>
      <c r="D28" s="23" t="s">
        <v>18</v>
      </c>
      <c r="E28" s="23" t="s">
        <v>37</v>
      </c>
      <c r="F28" s="24"/>
    </row>
    <row r="29" customFormat="false" ht="15" hidden="false" customHeight="false" outlineLevel="0" collapsed="false">
      <c r="A29" s="23"/>
      <c r="B29" s="24"/>
      <c r="C29" s="24"/>
      <c r="D29" s="23"/>
      <c r="E29" s="23"/>
      <c r="F29" s="24"/>
    </row>
    <row r="30" customFormat="false" ht="15" hidden="false" customHeight="false" outlineLevel="0" collapsed="false">
      <c r="A30" s="23"/>
      <c r="B30" s="24"/>
      <c r="C30" s="24"/>
      <c r="D30" s="23"/>
      <c r="E30" s="23"/>
      <c r="F30" s="24"/>
    </row>
    <row r="31" customFormat="false" ht="15" hidden="false" customHeight="false" outlineLevel="0" collapsed="false">
      <c r="A31" s="23"/>
      <c r="B31" s="24"/>
      <c r="C31" s="24"/>
      <c r="D31" s="23"/>
      <c r="E31" s="23"/>
      <c r="F31" s="24"/>
    </row>
    <row r="32" customFormat="false" ht="15" hidden="false" customHeight="false" outlineLevel="0" collapsed="false">
      <c r="A32" s="23"/>
      <c r="B32" s="24"/>
      <c r="C32" s="24"/>
      <c r="D32" s="23"/>
      <c r="E32" s="23"/>
      <c r="F32" s="24"/>
    </row>
    <row r="33" customFormat="false" ht="15" hidden="false" customHeight="false" outlineLevel="0" collapsed="false">
      <c r="A33" s="23"/>
      <c r="B33" s="24"/>
      <c r="C33" s="24"/>
      <c r="D33" s="23"/>
      <c r="E33" s="23"/>
      <c r="F33" s="24"/>
    </row>
    <row r="34" customFormat="false" ht="15" hidden="false" customHeight="false" outlineLevel="0" collapsed="false">
      <c r="A34" s="23"/>
      <c r="B34" s="24"/>
      <c r="C34" s="24"/>
      <c r="D34" s="23"/>
      <c r="E34" s="23"/>
      <c r="F34" s="24"/>
    </row>
    <row r="35" customFormat="false" ht="15" hidden="false" customHeight="false" outlineLevel="0" collapsed="false">
      <c r="A35" s="23"/>
      <c r="B35" s="24"/>
      <c r="C35" s="24"/>
      <c r="D35" s="23"/>
      <c r="E35" s="23"/>
      <c r="F35" s="24"/>
    </row>
    <row r="36" customFormat="false" ht="15" hidden="false" customHeight="false" outlineLevel="0" collapsed="false">
      <c r="A36" s="23"/>
      <c r="B36" s="24"/>
      <c r="C36" s="24"/>
      <c r="D36" s="23"/>
      <c r="E36" s="23"/>
      <c r="F36" s="24"/>
    </row>
    <row r="37" customFormat="false" ht="15" hidden="false" customHeight="false" outlineLevel="0" collapsed="false">
      <c r="A37" s="23"/>
      <c r="B37" s="24"/>
      <c r="C37" s="24"/>
      <c r="D37" s="23"/>
      <c r="E37" s="23"/>
      <c r="F37" s="24"/>
    </row>
    <row r="38" customFormat="false" ht="15" hidden="false" customHeight="false" outlineLevel="0" collapsed="false">
      <c r="A38" s="23"/>
      <c r="B38" s="24"/>
      <c r="C38" s="24"/>
      <c r="D38" s="23"/>
      <c r="E38" s="23"/>
      <c r="F38" s="24"/>
    </row>
    <row r="39" customFormat="false" ht="15" hidden="false" customHeight="false" outlineLevel="0" collapsed="false">
      <c r="A39" s="25"/>
      <c r="B39" s="26"/>
      <c r="C39" s="26"/>
      <c r="D39" s="25"/>
      <c r="E39" s="25"/>
      <c r="F39" s="26"/>
    </row>
    <row r="40" customFormat="false" ht="15" hidden="false" customHeight="false" outlineLevel="0" collapsed="false">
      <c r="A40" s="25"/>
      <c r="B40" s="26"/>
      <c r="C40" s="26"/>
      <c r="D40" s="25"/>
      <c r="E40" s="25"/>
      <c r="F40" s="26"/>
    </row>
    <row r="41" customFormat="false" ht="15" hidden="false" customHeight="false" outlineLevel="0" collapsed="false">
      <c r="A41" s="25"/>
      <c r="B41" s="26"/>
      <c r="C41" s="26"/>
      <c r="D41" s="25"/>
      <c r="E41" s="25"/>
      <c r="F41" s="26"/>
    </row>
    <row r="42" customFormat="false" ht="15" hidden="false" customHeight="false" outlineLevel="0" collapsed="false">
      <c r="A42" s="25"/>
      <c r="B42" s="26"/>
      <c r="C42" s="26"/>
      <c r="D42" s="25"/>
      <c r="E42" s="25"/>
      <c r="F42" s="26"/>
    </row>
    <row r="43" customFormat="false" ht="15" hidden="false" customHeight="false" outlineLevel="0" collapsed="false">
      <c r="A43" s="25"/>
      <c r="B43" s="26"/>
      <c r="C43" s="26"/>
      <c r="D43" s="25"/>
      <c r="E43" s="25"/>
      <c r="F43" s="26"/>
    </row>
    <row r="44" customFormat="false" ht="15" hidden="false" customHeight="false" outlineLevel="0" collapsed="false">
      <c r="A44" s="25"/>
      <c r="B44" s="26"/>
      <c r="C44" s="26"/>
      <c r="D44" s="25"/>
      <c r="E44" s="25"/>
      <c r="F44" s="26"/>
    </row>
    <row r="45" customFormat="false" ht="15" hidden="false" customHeight="false" outlineLevel="0" collapsed="false">
      <c r="A45" s="25"/>
      <c r="B45" s="26"/>
      <c r="C45" s="26"/>
      <c r="D45" s="25"/>
      <c r="E45" s="25"/>
      <c r="F45" s="26"/>
    </row>
    <row r="46" customFormat="false" ht="15" hidden="false" customHeight="false" outlineLevel="0" collapsed="false">
      <c r="A46" s="25"/>
      <c r="B46" s="26"/>
      <c r="C46" s="26"/>
      <c r="D46" s="25"/>
      <c r="E46" s="25"/>
      <c r="F46" s="26"/>
    </row>
    <row r="47" customFormat="false" ht="15" hidden="false" customHeight="false" outlineLevel="0" collapsed="false">
      <c r="A47" s="25"/>
      <c r="B47" s="26"/>
      <c r="C47" s="26"/>
      <c r="D47" s="25"/>
      <c r="E47" s="25"/>
      <c r="F47" s="26"/>
    </row>
    <row r="48" customFormat="false" ht="15" hidden="false" customHeight="false" outlineLevel="0" collapsed="false">
      <c r="A48" s="25"/>
      <c r="B48" s="26"/>
      <c r="C48" s="26"/>
      <c r="D48" s="25"/>
      <c r="E48" s="25"/>
      <c r="F48" s="26"/>
    </row>
    <row r="49" customFormat="false" ht="15" hidden="false" customHeight="false" outlineLevel="0" collapsed="false">
      <c r="A49" s="25"/>
      <c r="B49" s="26"/>
      <c r="C49" s="26"/>
      <c r="D49" s="25"/>
      <c r="E49" s="25"/>
      <c r="F49" s="26"/>
    </row>
    <row r="50" customFormat="false" ht="15" hidden="false" customHeight="false" outlineLevel="0" collapsed="false">
      <c r="A50" s="25"/>
      <c r="B50" s="26"/>
      <c r="C50" s="26"/>
      <c r="D50" s="25"/>
      <c r="E50" s="25"/>
      <c r="F50" s="26"/>
    </row>
    <row r="51" customFormat="false" ht="15" hidden="false" customHeight="false" outlineLevel="0" collapsed="false">
      <c r="A51" s="25"/>
      <c r="B51" s="26"/>
      <c r="C51" s="26"/>
      <c r="D51" s="25"/>
      <c r="E51" s="25"/>
      <c r="F51" s="26"/>
    </row>
    <row r="52" customFormat="false" ht="15" hidden="false" customHeight="false" outlineLevel="0" collapsed="false">
      <c r="A52" s="25"/>
      <c r="B52" s="26"/>
      <c r="C52" s="26"/>
      <c r="D52" s="25"/>
      <c r="E52" s="25"/>
      <c r="F52" s="26"/>
    </row>
    <row r="53" customFormat="false" ht="15" hidden="false" customHeight="false" outlineLevel="0" collapsed="false">
      <c r="A53" s="25"/>
      <c r="B53" s="26"/>
      <c r="C53" s="26"/>
      <c r="D53" s="25"/>
      <c r="E53" s="25"/>
      <c r="F53" s="26"/>
    </row>
    <row r="54" customFormat="false" ht="15" hidden="false" customHeight="false" outlineLevel="0" collapsed="false">
      <c r="A54" s="25"/>
      <c r="B54" s="26"/>
      <c r="C54" s="26"/>
      <c r="D54" s="25"/>
      <c r="E54" s="25"/>
      <c r="F54" s="26"/>
    </row>
    <row r="55" customFormat="false" ht="15" hidden="false" customHeight="false" outlineLevel="0" collapsed="false">
      <c r="A55" s="25"/>
      <c r="B55" s="26"/>
      <c r="C55" s="26"/>
      <c r="D55" s="25"/>
      <c r="E55" s="25"/>
      <c r="F55" s="26"/>
    </row>
    <row r="56" customFormat="false" ht="15" hidden="false" customHeight="false" outlineLevel="0" collapsed="false">
      <c r="A56" s="25"/>
      <c r="B56" s="26"/>
      <c r="C56" s="26"/>
      <c r="D56" s="25"/>
      <c r="E56" s="25"/>
      <c r="F56" s="26"/>
    </row>
    <row r="57" customFormat="false" ht="15" hidden="false" customHeight="false" outlineLevel="0" collapsed="false">
      <c r="A57" s="25"/>
      <c r="B57" s="26"/>
      <c r="C57" s="26"/>
      <c r="D57" s="25"/>
      <c r="E57" s="25"/>
      <c r="F57" s="26"/>
    </row>
    <row r="58" customFormat="false" ht="15" hidden="false" customHeight="false" outlineLevel="0" collapsed="false">
      <c r="A58" s="25"/>
      <c r="B58" s="26"/>
      <c r="C58" s="26"/>
      <c r="D58" s="25"/>
      <c r="E58" s="25"/>
      <c r="F58" s="26"/>
    </row>
    <row r="59" customFormat="false" ht="15" hidden="false" customHeight="false" outlineLevel="0" collapsed="false">
      <c r="A59" s="25"/>
      <c r="B59" s="26"/>
      <c r="C59" s="26"/>
      <c r="D59" s="25"/>
      <c r="E59" s="25"/>
      <c r="F59" s="26"/>
    </row>
    <row r="60" customFormat="false" ht="15" hidden="false" customHeight="false" outlineLevel="0" collapsed="false">
      <c r="A60" s="25"/>
      <c r="B60" s="26"/>
      <c r="C60" s="26"/>
      <c r="D60" s="25"/>
      <c r="E60" s="25"/>
      <c r="F60" s="26"/>
    </row>
    <row r="61" customFormat="false" ht="15" hidden="false" customHeight="false" outlineLevel="0" collapsed="false">
      <c r="A61" s="25"/>
      <c r="B61" s="26"/>
      <c r="C61" s="26"/>
      <c r="D61" s="25"/>
      <c r="E61" s="25"/>
      <c r="F61" s="26"/>
    </row>
    <row r="62" customFormat="false" ht="15" hidden="false" customHeight="false" outlineLevel="0" collapsed="false">
      <c r="A62" s="25"/>
      <c r="B62" s="26"/>
      <c r="C62" s="26"/>
      <c r="D62" s="25"/>
      <c r="E62" s="25"/>
      <c r="F62" s="26"/>
    </row>
    <row r="63" customFormat="false" ht="15" hidden="false" customHeight="false" outlineLevel="0" collapsed="false">
      <c r="A63" s="25"/>
      <c r="B63" s="26"/>
      <c r="C63" s="26"/>
      <c r="D63" s="25"/>
      <c r="E63" s="25"/>
      <c r="F63" s="26"/>
    </row>
    <row r="64" customFormat="false" ht="15" hidden="false" customHeight="false" outlineLevel="0" collapsed="false">
      <c r="A64" s="25"/>
      <c r="B64" s="26"/>
      <c r="C64" s="26"/>
      <c r="D64" s="25"/>
      <c r="E64" s="25"/>
      <c r="F64" s="26"/>
    </row>
    <row r="65" customFormat="false" ht="15" hidden="false" customHeight="false" outlineLevel="0" collapsed="false">
      <c r="A65" s="25"/>
      <c r="B65" s="26"/>
      <c r="C65" s="26"/>
      <c r="D65" s="25"/>
      <c r="E65" s="25"/>
      <c r="F65" s="26"/>
    </row>
    <row r="66" customFormat="false" ht="15" hidden="false" customHeight="false" outlineLevel="0" collapsed="false">
      <c r="A66" s="25"/>
      <c r="B66" s="26"/>
      <c r="C66" s="26"/>
      <c r="D66" s="25"/>
      <c r="E66" s="25"/>
      <c r="F66" s="26"/>
    </row>
    <row r="67" customFormat="false" ht="15" hidden="false" customHeight="false" outlineLevel="0" collapsed="false">
      <c r="A67" s="25"/>
      <c r="B67" s="26"/>
      <c r="C67" s="26"/>
      <c r="D67" s="25"/>
      <c r="E67" s="25"/>
      <c r="F67" s="26"/>
    </row>
    <row r="68" customFormat="false" ht="15" hidden="false" customHeight="false" outlineLevel="0" collapsed="false">
      <c r="A68" s="25"/>
      <c r="B68" s="26"/>
      <c r="C68" s="26"/>
      <c r="D68" s="25"/>
      <c r="E68" s="25"/>
      <c r="F68" s="26"/>
    </row>
    <row r="69" customFormat="false" ht="15" hidden="false" customHeight="false" outlineLevel="0" collapsed="false">
      <c r="A69" s="25"/>
      <c r="B69" s="26"/>
      <c r="C69" s="26"/>
      <c r="D69" s="25"/>
      <c r="E69" s="25"/>
      <c r="F69" s="26"/>
    </row>
    <row r="70" customFormat="false" ht="15" hidden="false" customHeight="false" outlineLevel="0" collapsed="false">
      <c r="A70" s="25"/>
      <c r="B70" s="26"/>
      <c r="C70" s="26"/>
      <c r="D70" s="25"/>
      <c r="E70" s="25"/>
      <c r="F70" s="26"/>
    </row>
    <row r="71" customFormat="false" ht="15" hidden="false" customHeight="false" outlineLevel="0" collapsed="false">
      <c r="A71" s="25"/>
      <c r="B71" s="26"/>
      <c r="C71" s="26"/>
      <c r="D71" s="25"/>
      <c r="E71" s="25"/>
      <c r="F71" s="26"/>
    </row>
    <row r="72" customFormat="false" ht="15" hidden="false" customHeight="false" outlineLevel="0" collapsed="false">
      <c r="A72" s="25"/>
      <c r="B72" s="26"/>
      <c r="C72" s="26"/>
      <c r="D72" s="25"/>
      <c r="E72" s="25"/>
      <c r="F72" s="26"/>
    </row>
    <row r="73" customFormat="false" ht="15" hidden="false" customHeight="false" outlineLevel="0" collapsed="false">
      <c r="A73" s="25"/>
      <c r="B73" s="26"/>
      <c r="C73" s="26"/>
      <c r="D73" s="25"/>
      <c r="E73" s="25"/>
      <c r="F73" s="26"/>
    </row>
    <row r="74" customFormat="false" ht="15" hidden="false" customHeight="false" outlineLevel="0" collapsed="false">
      <c r="A74" s="25"/>
      <c r="B74" s="26"/>
      <c r="C74" s="26"/>
      <c r="D74" s="25"/>
      <c r="E74" s="25"/>
      <c r="F74" s="26"/>
    </row>
    <row r="75" customFormat="false" ht="15" hidden="false" customHeight="false" outlineLevel="0" collapsed="false">
      <c r="A75" s="25"/>
      <c r="B75" s="26"/>
      <c r="C75" s="26"/>
      <c r="D75" s="25"/>
      <c r="E75" s="25"/>
      <c r="F75" s="26"/>
    </row>
    <row r="76" customFormat="false" ht="15" hidden="false" customHeight="false" outlineLevel="0" collapsed="false">
      <c r="A76" s="25"/>
      <c r="B76" s="26"/>
      <c r="C76" s="26"/>
      <c r="D76" s="25"/>
      <c r="E76" s="25"/>
      <c r="F76" s="26"/>
    </row>
    <row r="77" customFormat="false" ht="15" hidden="false" customHeight="false" outlineLevel="0" collapsed="false">
      <c r="A77" s="25"/>
      <c r="B77" s="26"/>
      <c r="C77" s="26"/>
      <c r="D77" s="25"/>
      <c r="E77" s="25"/>
      <c r="F77" s="26"/>
    </row>
    <row r="78" customFormat="false" ht="15" hidden="false" customHeight="false" outlineLevel="0" collapsed="false">
      <c r="A78" s="25"/>
      <c r="B78" s="26"/>
      <c r="C78" s="26"/>
      <c r="D78" s="25"/>
      <c r="E78" s="25"/>
      <c r="F78" s="26"/>
    </row>
    <row r="79" customFormat="false" ht="15" hidden="false" customHeight="false" outlineLevel="0" collapsed="false">
      <c r="A79" s="25"/>
      <c r="B79" s="26"/>
      <c r="C79" s="26"/>
      <c r="D79" s="25"/>
      <c r="E79" s="25"/>
      <c r="F79" s="26"/>
    </row>
    <row r="80" customFormat="false" ht="15" hidden="false" customHeight="false" outlineLevel="0" collapsed="false">
      <c r="A80" s="25"/>
      <c r="B80" s="26"/>
      <c r="C80" s="26"/>
      <c r="D80" s="25"/>
      <c r="E80" s="25"/>
      <c r="F80" s="26"/>
    </row>
  </sheetData>
  <conditionalFormatting sqref="E5:E80">
    <cfRule type="cellIs" priority="2" operator="equal" aboveAverage="0" equalAverage="0" bottom="0" percent="0" rank="0" text="" dxfId="0">
      <formula>"Hecho"</formula>
    </cfRule>
    <cfRule type="cellIs" priority="3" operator="equal" aboveAverage="0" equalAverage="0" bottom="0" percent="0" rank="0" text="" dxfId="1">
      <formula>"En curso"</formula>
    </cfRule>
    <cfRule type="cellIs" priority="4" operator="equal" aboveAverage="0" equalAverage="0" bottom="0" percent="0" rank="0" text="" dxfId="2">
      <formula>"Pendiente"</formula>
    </cfRule>
  </conditionalFormatting>
  <dataValidations count="2">
    <dataValidation allowBlank="true" errorStyle="stop" operator="between" showDropDown="false" showErrorMessage="false" showInputMessage="false" sqref="E5:E80" type="list">
      <formula1>"Pendiente,En curso,Hecho"</formula1>
      <formula2>0</formula2>
    </dataValidation>
    <dataValidation allowBlank="true" errorStyle="stop" operator="between" showDropDown="false" showErrorMessage="false" showInputMessage="false" sqref="D5:D80" type="list">
      <formula1>"Número 1,Número 2,Número 3,Todos"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62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6" min="6" style="0" width="38"/>
  </cols>
  <sheetData>
    <row r="1" customFormat="false" ht="17.35" hidden="false" customHeight="false" outlineLevel="0" collapsed="false">
      <c r="A1" s="19" t="s">
        <v>11</v>
      </c>
    </row>
    <row r="2" customFormat="false" ht="15" hidden="false" customHeight="false" outlineLevel="0" collapsed="false">
      <c r="A2" s="20" t="s">
        <v>28</v>
      </c>
      <c r="B2" s="21" t="n">
        <f aca="false">IF(COUNTA(C5:C80)=0,0,COUNTIF(E5:E80,"Hecho")/COUNTA(C5:C80))</f>
        <v>0</v>
      </c>
      <c r="C2" s="22" t="str">
        <f aca="false">COUNTIF(E5:E80,"Hecho")&amp;" de "&amp;COUNTA(C5:C80)&amp;" apartados hechos"</f>
        <v>0 de 21 apartados hechos</v>
      </c>
    </row>
    <row r="4" customFormat="false" ht="15" hidden="false" customHeight="false" outlineLevel="0" collapsed="false">
      <c r="A4" s="3" t="s">
        <v>29</v>
      </c>
      <c r="B4" s="3" t="s">
        <v>30</v>
      </c>
      <c r="C4" s="3" t="s">
        <v>31</v>
      </c>
      <c r="D4" s="3" t="s">
        <v>32</v>
      </c>
      <c r="E4" s="3" t="s">
        <v>33</v>
      </c>
      <c r="F4" s="3" t="s">
        <v>34</v>
      </c>
    </row>
    <row r="5" customFormat="false" ht="15" hidden="false" customHeight="false" outlineLevel="0" collapsed="false">
      <c r="A5" s="23" t="n">
        <v>1</v>
      </c>
      <c r="B5" s="24" t="s">
        <v>121</v>
      </c>
      <c r="C5" s="24" t="s">
        <v>122</v>
      </c>
      <c r="D5" s="23" t="s">
        <v>19</v>
      </c>
      <c r="E5" s="23" t="s">
        <v>37</v>
      </c>
      <c r="F5" s="24"/>
    </row>
    <row r="6" customFormat="false" ht="15" hidden="false" customHeight="false" outlineLevel="0" collapsed="false">
      <c r="A6" s="23" t="n">
        <v>2</v>
      </c>
      <c r="B6" s="24" t="s">
        <v>121</v>
      </c>
      <c r="C6" s="24" t="s">
        <v>123</v>
      </c>
      <c r="D6" s="23" t="s">
        <v>19</v>
      </c>
      <c r="E6" s="23" t="s">
        <v>37</v>
      </c>
      <c r="F6" s="24"/>
    </row>
    <row r="7" customFormat="false" ht="15" hidden="false" customHeight="false" outlineLevel="0" collapsed="false">
      <c r="A7" s="23" t="n">
        <v>3</v>
      </c>
      <c r="B7" s="24" t="s">
        <v>124</v>
      </c>
      <c r="C7" s="24" t="s">
        <v>125</v>
      </c>
      <c r="D7" s="23" t="s">
        <v>19</v>
      </c>
      <c r="E7" s="23" t="s">
        <v>37</v>
      </c>
      <c r="F7" s="24"/>
    </row>
    <row r="8" customFormat="false" ht="15" hidden="false" customHeight="false" outlineLevel="0" collapsed="false">
      <c r="A8" s="23" t="n">
        <v>4</v>
      </c>
      <c r="B8" s="24" t="s">
        <v>124</v>
      </c>
      <c r="C8" s="24" t="s">
        <v>126</v>
      </c>
      <c r="D8" s="23" t="s">
        <v>19</v>
      </c>
      <c r="E8" s="23" t="s">
        <v>37</v>
      </c>
      <c r="F8" s="24"/>
    </row>
    <row r="9" customFormat="false" ht="15" hidden="false" customHeight="false" outlineLevel="0" collapsed="false">
      <c r="A9" s="23" t="n">
        <v>5</v>
      </c>
      <c r="B9" s="24" t="s">
        <v>127</v>
      </c>
      <c r="C9" s="24" t="s">
        <v>128</v>
      </c>
      <c r="D9" s="23" t="s">
        <v>19</v>
      </c>
      <c r="E9" s="23" t="s">
        <v>37</v>
      </c>
      <c r="F9" s="24"/>
    </row>
    <row r="10" customFormat="false" ht="15" hidden="false" customHeight="false" outlineLevel="0" collapsed="false">
      <c r="A10" s="23" t="n">
        <v>6</v>
      </c>
      <c r="B10" s="24" t="s">
        <v>127</v>
      </c>
      <c r="C10" s="24" t="s">
        <v>129</v>
      </c>
      <c r="D10" s="23" t="s">
        <v>19</v>
      </c>
      <c r="E10" s="23" t="s">
        <v>37</v>
      </c>
      <c r="F10" s="24" t="s">
        <v>130</v>
      </c>
    </row>
    <row r="11" customFormat="false" ht="15" hidden="false" customHeight="false" outlineLevel="0" collapsed="false">
      <c r="A11" s="23" t="n">
        <v>7</v>
      </c>
      <c r="B11" s="24" t="s">
        <v>127</v>
      </c>
      <c r="C11" s="24" t="s">
        <v>131</v>
      </c>
      <c r="D11" s="23" t="s">
        <v>19</v>
      </c>
      <c r="E11" s="23" t="s">
        <v>37</v>
      </c>
      <c r="F11" s="24"/>
    </row>
    <row r="12" customFormat="false" ht="15" hidden="false" customHeight="false" outlineLevel="0" collapsed="false">
      <c r="A12" s="23" t="n">
        <v>8</v>
      </c>
      <c r="B12" s="24" t="s">
        <v>127</v>
      </c>
      <c r="C12" s="24" t="s">
        <v>132</v>
      </c>
      <c r="D12" s="23" t="s">
        <v>19</v>
      </c>
      <c r="E12" s="23" t="s">
        <v>37</v>
      </c>
      <c r="F12" s="24"/>
    </row>
    <row r="13" customFormat="false" ht="15" hidden="false" customHeight="false" outlineLevel="0" collapsed="false">
      <c r="A13" s="23" t="n">
        <v>9</v>
      </c>
      <c r="B13" s="24" t="s">
        <v>133</v>
      </c>
      <c r="C13" s="24" t="s">
        <v>134</v>
      </c>
      <c r="D13" s="23" t="s">
        <v>19</v>
      </c>
      <c r="E13" s="23" t="s">
        <v>37</v>
      </c>
      <c r="F13" s="24"/>
    </row>
    <row r="14" customFormat="false" ht="15" hidden="false" customHeight="false" outlineLevel="0" collapsed="false">
      <c r="A14" s="23" t="n">
        <v>10</v>
      </c>
      <c r="B14" s="24" t="s">
        <v>133</v>
      </c>
      <c r="C14" s="24" t="s">
        <v>135</v>
      </c>
      <c r="D14" s="23" t="s">
        <v>19</v>
      </c>
      <c r="E14" s="23" t="s">
        <v>37</v>
      </c>
      <c r="F14" s="24"/>
    </row>
    <row r="15" customFormat="false" ht="15" hidden="false" customHeight="false" outlineLevel="0" collapsed="false">
      <c r="A15" s="23" t="n">
        <v>11</v>
      </c>
      <c r="B15" s="24" t="s">
        <v>133</v>
      </c>
      <c r="C15" s="24" t="s">
        <v>136</v>
      </c>
      <c r="D15" s="23" t="s">
        <v>19</v>
      </c>
      <c r="E15" s="23" t="s">
        <v>37</v>
      </c>
      <c r="F15" s="24"/>
    </row>
    <row r="16" customFormat="false" ht="15" hidden="false" customHeight="false" outlineLevel="0" collapsed="false">
      <c r="A16" s="23" t="n">
        <v>12</v>
      </c>
      <c r="B16" s="24" t="s">
        <v>133</v>
      </c>
      <c r="C16" s="24" t="s">
        <v>137</v>
      </c>
      <c r="D16" s="23" t="s">
        <v>19</v>
      </c>
      <c r="E16" s="23" t="s">
        <v>37</v>
      </c>
      <c r="F16" s="24"/>
    </row>
    <row r="17" customFormat="false" ht="15" hidden="false" customHeight="false" outlineLevel="0" collapsed="false">
      <c r="A17" s="23" t="n">
        <v>13</v>
      </c>
      <c r="B17" s="24" t="s">
        <v>138</v>
      </c>
      <c r="C17" s="24" t="s">
        <v>139</v>
      </c>
      <c r="D17" s="23" t="s">
        <v>19</v>
      </c>
      <c r="E17" s="23" t="s">
        <v>37</v>
      </c>
      <c r="F17" s="24"/>
    </row>
    <row r="18" customFormat="false" ht="15" hidden="false" customHeight="false" outlineLevel="0" collapsed="false">
      <c r="A18" s="23" t="n">
        <v>14</v>
      </c>
      <c r="B18" s="24" t="s">
        <v>138</v>
      </c>
      <c r="C18" s="24" t="s">
        <v>140</v>
      </c>
      <c r="D18" s="23" t="s">
        <v>19</v>
      </c>
      <c r="E18" s="23" t="s">
        <v>37</v>
      </c>
      <c r="F18" s="24"/>
    </row>
    <row r="19" customFormat="false" ht="15" hidden="false" customHeight="false" outlineLevel="0" collapsed="false">
      <c r="A19" s="23" t="n">
        <v>15</v>
      </c>
      <c r="B19" s="24" t="s">
        <v>138</v>
      </c>
      <c r="C19" s="24" t="s">
        <v>141</v>
      </c>
      <c r="D19" s="23" t="s">
        <v>19</v>
      </c>
      <c r="E19" s="23" t="s">
        <v>37</v>
      </c>
      <c r="F19" s="24"/>
    </row>
    <row r="20" customFormat="false" ht="15" hidden="false" customHeight="false" outlineLevel="0" collapsed="false">
      <c r="A20" s="23" t="n">
        <v>16</v>
      </c>
      <c r="B20" s="24" t="s">
        <v>138</v>
      </c>
      <c r="C20" s="24" t="s">
        <v>142</v>
      </c>
      <c r="D20" s="23" t="s">
        <v>19</v>
      </c>
      <c r="E20" s="23" t="s">
        <v>37</v>
      </c>
      <c r="F20" s="24"/>
    </row>
    <row r="21" customFormat="false" ht="15" hidden="false" customHeight="false" outlineLevel="0" collapsed="false">
      <c r="A21" s="23" t="n">
        <v>17</v>
      </c>
      <c r="B21" s="24" t="s">
        <v>138</v>
      </c>
      <c r="C21" s="24" t="s">
        <v>143</v>
      </c>
      <c r="D21" s="23" t="s">
        <v>19</v>
      </c>
      <c r="E21" s="23" t="s">
        <v>37</v>
      </c>
      <c r="F21" s="24" t="s">
        <v>144</v>
      </c>
    </row>
    <row r="22" customFormat="false" ht="15" hidden="false" customHeight="false" outlineLevel="0" collapsed="false">
      <c r="A22" s="23" t="n">
        <v>18</v>
      </c>
      <c r="B22" s="24" t="s">
        <v>145</v>
      </c>
      <c r="C22" s="24" t="s">
        <v>146</v>
      </c>
      <c r="D22" s="23" t="s">
        <v>19</v>
      </c>
      <c r="E22" s="23" t="s">
        <v>37</v>
      </c>
      <c r="F22" s="24"/>
    </row>
    <row r="23" customFormat="false" ht="15" hidden="false" customHeight="false" outlineLevel="0" collapsed="false">
      <c r="A23" s="23" t="n">
        <v>19</v>
      </c>
      <c r="B23" s="24" t="s">
        <v>145</v>
      </c>
      <c r="C23" s="24" t="s">
        <v>147</v>
      </c>
      <c r="D23" s="23" t="s">
        <v>19</v>
      </c>
      <c r="E23" s="23" t="s">
        <v>37</v>
      </c>
      <c r="F23" s="24"/>
    </row>
    <row r="24" customFormat="false" ht="15" hidden="false" customHeight="false" outlineLevel="0" collapsed="false">
      <c r="A24" s="23" t="n">
        <v>20</v>
      </c>
      <c r="B24" s="24" t="s">
        <v>148</v>
      </c>
      <c r="C24" s="24" t="s">
        <v>149</v>
      </c>
      <c r="D24" s="23" t="s">
        <v>19</v>
      </c>
      <c r="E24" s="23" t="s">
        <v>37</v>
      </c>
      <c r="F24" s="24"/>
    </row>
    <row r="25" customFormat="false" ht="15" hidden="false" customHeight="false" outlineLevel="0" collapsed="false">
      <c r="A25" s="23" t="n">
        <v>21</v>
      </c>
      <c r="B25" s="24" t="s">
        <v>148</v>
      </c>
      <c r="C25" s="24" t="s">
        <v>150</v>
      </c>
      <c r="D25" s="23" t="s">
        <v>19</v>
      </c>
      <c r="E25" s="23" t="s">
        <v>37</v>
      </c>
      <c r="F25" s="24"/>
    </row>
    <row r="26" customFormat="false" ht="15" hidden="false" customHeight="false" outlineLevel="0" collapsed="false">
      <c r="A26" s="23"/>
      <c r="B26" s="24"/>
      <c r="C26" s="24"/>
      <c r="D26" s="23"/>
      <c r="E26" s="23"/>
      <c r="F26" s="24"/>
    </row>
    <row r="27" customFormat="false" ht="15" hidden="false" customHeight="false" outlineLevel="0" collapsed="false">
      <c r="A27" s="23"/>
      <c r="B27" s="24"/>
      <c r="C27" s="24"/>
      <c r="D27" s="23"/>
      <c r="E27" s="23"/>
      <c r="F27" s="24"/>
    </row>
    <row r="28" customFormat="false" ht="15" hidden="false" customHeight="false" outlineLevel="0" collapsed="false">
      <c r="A28" s="23"/>
      <c r="B28" s="24"/>
      <c r="C28" s="24"/>
      <c r="D28" s="23"/>
      <c r="E28" s="23"/>
      <c r="F28" s="24"/>
    </row>
    <row r="29" customFormat="false" ht="15" hidden="false" customHeight="false" outlineLevel="0" collapsed="false">
      <c r="A29" s="23"/>
      <c r="B29" s="24"/>
      <c r="C29" s="24"/>
      <c r="D29" s="23"/>
      <c r="E29" s="23"/>
      <c r="F29" s="24"/>
    </row>
    <row r="30" customFormat="false" ht="15" hidden="false" customHeight="false" outlineLevel="0" collapsed="false">
      <c r="A30" s="23"/>
      <c r="B30" s="24"/>
      <c r="C30" s="24"/>
      <c r="D30" s="23"/>
      <c r="E30" s="23"/>
      <c r="F30" s="24"/>
    </row>
    <row r="31" customFormat="false" ht="15" hidden="false" customHeight="false" outlineLevel="0" collapsed="false">
      <c r="A31" s="23"/>
      <c r="B31" s="24"/>
      <c r="C31" s="24"/>
      <c r="D31" s="23"/>
      <c r="E31" s="23"/>
      <c r="F31" s="24"/>
    </row>
    <row r="32" customFormat="false" ht="15" hidden="false" customHeight="false" outlineLevel="0" collapsed="false">
      <c r="A32" s="23"/>
      <c r="B32" s="24"/>
      <c r="C32" s="24"/>
      <c r="D32" s="23"/>
      <c r="E32" s="23"/>
      <c r="F32" s="24"/>
    </row>
    <row r="33" customFormat="false" ht="15" hidden="false" customHeight="false" outlineLevel="0" collapsed="false">
      <c r="A33" s="23"/>
      <c r="B33" s="24"/>
      <c r="C33" s="24"/>
      <c r="D33" s="23"/>
      <c r="E33" s="23"/>
      <c r="F33" s="24"/>
    </row>
    <row r="34" customFormat="false" ht="15" hidden="false" customHeight="false" outlineLevel="0" collapsed="false">
      <c r="A34" s="23"/>
      <c r="B34" s="24"/>
      <c r="C34" s="24"/>
      <c r="D34" s="23"/>
      <c r="E34" s="23"/>
      <c r="F34" s="24"/>
    </row>
    <row r="35" customFormat="false" ht="15" hidden="false" customHeight="false" outlineLevel="0" collapsed="false">
      <c r="A35" s="23"/>
      <c r="B35" s="24"/>
      <c r="C35" s="24"/>
      <c r="D35" s="23"/>
      <c r="E35" s="23"/>
      <c r="F35" s="24"/>
    </row>
    <row r="36" customFormat="false" ht="15" hidden="false" customHeight="false" outlineLevel="0" collapsed="false">
      <c r="A36" s="25"/>
      <c r="B36" s="26"/>
      <c r="C36" s="26"/>
      <c r="D36" s="25"/>
      <c r="E36" s="25"/>
      <c r="F36" s="26"/>
    </row>
    <row r="37" customFormat="false" ht="15" hidden="false" customHeight="false" outlineLevel="0" collapsed="false">
      <c r="A37" s="25"/>
      <c r="B37" s="26"/>
      <c r="C37" s="26"/>
      <c r="D37" s="25"/>
      <c r="E37" s="25"/>
      <c r="F37" s="26"/>
    </row>
    <row r="38" customFormat="false" ht="15" hidden="false" customHeight="false" outlineLevel="0" collapsed="false">
      <c r="A38" s="25"/>
      <c r="B38" s="26"/>
      <c r="C38" s="26"/>
      <c r="D38" s="25"/>
      <c r="E38" s="25"/>
      <c r="F38" s="26"/>
    </row>
    <row r="39" customFormat="false" ht="15" hidden="false" customHeight="false" outlineLevel="0" collapsed="false">
      <c r="A39" s="25"/>
      <c r="B39" s="26"/>
      <c r="C39" s="26"/>
      <c r="D39" s="25"/>
      <c r="E39" s="25"/>
      <c r="F39" s="26"/>
    </row>
    <row r="40" customFormat="false" ht="15" hidden="false" customHeight="false" outlineLevel="0" collapsed="false">
      <c r="A40" s="25"/>
      <c r="B40" s="26"/>
      <c r="C40" s="26"/>
      <c r="D40" s="25"/>
      <c r="E40" s="25"/>
      <c r="F40" s="26"/>
    </row>
    <row r="41" customFormat="false" ht="15" hidden="false" customHeight="false" outlineLevel="0" collapsed="false">
      <c r="A41" s="25"/>
      <c r="B41" s="26"/>
      <c r="C41" s="26"/>
      <c r="D41" s="25"/>
      <c r="E41" s="25"/>
      <c r="F41" s="26"/>
    </row>
    <row r="42" customFormat="false" ht="15" hidden="false" customHeight="false" outlineLevel="0" collapsed="false">
      <c r="A42" s="25"/>
      <c r="B42" s="26"/>
      <c r="C42" s="26"/>
      <c r="D42" s="25"/>
      <c r="E42" s="25"/>
      <c r="F42" s="26"/>
    </row>
    <row r="43" customFormat="false" ht="15" hidden="false" customHeight="false" outlineLevel="0" collapsed="false">
      <c r="A43" s="25"/>
      <c r="B43" s="26"/>
      <c r="C43" s="26"/>
      <c r="D43" s="25"/>
      <c r="E43" s="25"/>
      <c r="F43" s="26"/>
    </row>
    <row r="44" customFormat="false" ht="15" hidden="false" customHeight="false" outlineLevel="0" collapsed="false">
      <c r="A44" s="25"/>
      <c r="B44" s="26"/>
      <c r="C44" s="26"/>
      <c r="D44" s="25"/>
      <c r="E44" s="25"/>
      <c r="F44" s="26"/>
    </row>
    <row r="45" customFormat="false" ht="15" hidden="false" customHeight="false" outlineLevel="0" collapsed="false">
      <c r="A45" s="25"/>
      <c r="B45" s="26"/>
      <c r="C45" s="26"/>
      <c r="D45" s="25"/>
      <c r="E45" s="25"/>
      <c r="F45" s="26"/>
    </row>
    <row r="46" customFormat="false" ht="15" hidden="false" customHeight="false" outlineLevel="0" collapsed="false">
      <c r="A46" s="25"/>
      <c r="B46" s="26"/>
      <c r="C46" s="26"/>
      <c r="D46" s="25"/>
      <c r="E46" s="25"/>
      <c r="F46" s="26"/>
    </row>
    <row r="47" customFormat="false" ht="15" hidden="false" customHeight="false" outlineLevel="0" collapsed="false">
      <c r="A47" s="25"/>
      <c r="B47" s="26"/>
      <c r="C47" s="26"/>
      <c r="D47" s="25"/>
      <c r="E47" s="25"/>
      <c r="F47" s="26"/>
    </row>
    <row r="48" customFormat="false" ht="15" hidden="false" customHeight="false" outlineLevel="0" collapsed="false">
      <c r="A48" s="25"/>
      <c r="B48" s="26"/>
      <c r="C48" s="26"/>
      <c r="D48" s="25"/>
      <c r="E48" s="25"/>
      <c r="F48" s="26"/>
    </row>
    <row r="49" customFormat="false" ht="15" hidden="false" customHeight="false" outlineLevel="0" collapsed="false">
      <c r="A49" s="25"/>
      <c r="B49" s="26"/>
      <c r="C49" s="26"/>
      <c r="D49" s="25"/>
      <c r="E49" s="25"/>
      <c r="F49" s="26"/>
    </row>
    <row r="50" customFormat="false" ht="15" hidden="false" customHeight="false" outlineLevel="0" collapsed="false">
      <c r="A50" s="25"/>
      <c r="B50" s="26"/>
      <c r="C50" s="26"/>
      <c r="D50" s="25"/>
      <c r="E50" s="25"/>
      <c r="F50" s="26"/>
    </row>
    <row r="51" customFormat="false" ht="15" hidden="false" customHeight="false" outlineLevel="0" collapsed="false">
      <c r="A51" s="25"/>
      <c r="B51" s="26"/>
      <c r="C51" s="26"/>
      <c r="D51" s="25"/>
      <c r="E51" s="25"/>
      <c r="F51" s="26"/>
    </row>
    <row r="52" customFormat="false" ht="15" hidden="false" customHeight="false" outlineLevel="0" collapsed="false">
      <c r="A52" s="25"/>
      <c r="B52" s="26"/>
      <c r="C52" s="26"/>
      <c r="D52" s="25"/>
      <c r="E52" s="25"/>
      <c r="F52" s="26"/>
    </row>
    <row r="53" customFormat="false" ht="15" hidden="false" customHeight="false" outlineLevel="0" collapsed="false">
      <c r="A53" s="25"/>
      <c r="B53" s="26"/>
      <c r="C53" s="26"/>
      <c r="D53" s="25"/>
      <c r="E53" s="25"/>
      <c r="F53" s="26"/>
    </row>
    <row r="54" customFormat="false" ht="15" hidden="false" customHeight="false" outlineLevel="0" collapsed="false">
      <c r="A54" s="25"/>
      <c r="B54" s="26"/>
      <c r="C54" s="26"/>
      <c r="D54" s="25"/>
      <c r="E54" s="25"/>
      <c r="F54" s="26"/>
    </row>
    <row r="55" customFormat="false" ht="15" hidden="false" customHeight="false" outlineLevel="0" collapsed="false">
      <c r="A55" s="25"/>
      <c r="B55" s="26"/>
      <c r="C55" s="26"/>
      <c r="D55" s="25"/>
      <c r="E55" s="25"/>
      <c r="F55" s="26"/>
    </row>
    <row r="56" customFormat="false" ht="15" hidden="false" customHeight="false" outlineLevel="0" collapsed="false">
      <c r="A56" s="25"/>
      <c r="B56" s="26"/>
      <c r="C56" s="26"/>
      <c r="D56" s="25"/>
      <c r="E56" s="25"/>
      <c r="F56" s="26"/>
    </row>
    <row r="57" customFormat="false" ht="15" hidden="false" customHeight="false" outlineLevel="0" collapsed="false">
      <c r="A57" s="25"/>
      <c r="B57" s="26"/>
      <c r="C57" s="26"/>
      <c r="D57" s="25"/>
      <c r="E57" s="25"/>
      <c r="F57" s="26"/>
    </row>
    <row r="58" customFormat="false" ht="15" hidden="false" customHeight="false" outlineLevel="0" collapsed="false">
      <c r="A58" s="25"/>
      <c r="B58" s="26"/>
      <c r="C58" s="26"/>
      <c r="D58" s="25"/>
      <c r="E58" s="25"/>
      <c r="F58" s="26"/>
    </row>
    <row r="59" customFormat="false" ht="15" hidden="false" customHeight="false" outlineLevel="0" collapsed="false">
      <c r="A59" s="25"/>
      <c r="B59" s="26"/>
      <c r="C59" s="26"/>
      <c r="D59" s="25"/>
      <c r="E59" s="25"/>
      <c r="F59" s="26"/>
    </row>
    <row r="60" customFormat="false" ht="15" hidden="false" customHeight="false" outlineLevel="0" collapsed="false">
      <c r="A60" s="25"/>
      <c r="B60" s="26"/>
      <c r="C60" s="26"/>
      <c r="D60" s="25"/>
      <c r="E60" s="25"/>
      <c r="F60" s="26"/>
    </row>
    <row r="61" customFormat="false" ht="15" hidden="false" customHeight="false" outlineLevel="0" collapsed="false">
      <c r="A61" s="25"/>
      <c r="B61" s="26"/>
      <c r="C61" s="26"/>
      <c r="D61" s="25"/>
      <c r="E61" s="25"/>
      <c r="F61" s="26"/>
    </row>
    <row r="62" customFormat="false" ht="15" hidden="false" customHeight="false" outlineLevel="0" collapsed="false">
      <c r="A62" s="25"/>
      <c r="B62" s="26"/>
      <c r="C62" s="26"/>
      <c r="D62" s="25"/>
      <c r="E62" s="25"/>
      <c r="F62" s="26"/>
    </row>
    <row r="63" customFormat="false" ht="15" hidden="false" customHeight="false" outlineLevel="0" collapsed="false">
      <c r="A63" s="25"/>
      <c r="B63" s="26"/>
      <c r="C63" s="26"/>
      <c r="D63" s="25"/>
      <c r="E63" s="25"/>
      <c r="F63" s="26"/>
    </row>
    <row r="64" customFormat="false" ht="15" hidden="false" customHeight="false" outlineLevel="0" collapsed="false">
      <c r="A64" s="25"/>
      <c r="B64" s="26"/>
      <c r="C64" s="26"/>
      <c r="D64" s="25"/>
      <c r="E64" s="25"/>
      <c r="F64" s="26"/>
    </row>
    <row r="65" customFormat="false" ht="15" hidden="false" customHeight="false" outlineLevel="0" collapsed="false">
      <c r="A65" s="25"/>
      <c r="B65" s="26"/>
      <c r="C65" s="26"/>
      <c r="D65" s="25"/>
      <c r="E65" s="25"/>
      <c r="F65" s="26"/>
    </row>
    <row r="66" customFormat="false" ht="15" hidden="false" customHeight="false" outlineLevel="0" collapsed="false">
      <c r="A66" s="25"/>
      <c r="B66" s="26"/>
      <c r="C66" s="26"/>
      <c r="D66" s="25"/>
      <c r="E66" s="25"/>
      <c r="F66" s="26"/>
    </row>
    <row r="67" customFormat="false" ht="15" hidden="false" customHeight="false" outlineLevel="0" collapsed="false">
      <c r="A67" s="25"/>
      <c r="B67" s="26"/>
      <c r="C67" s="26"/>
      <c r="D67" s="25"/>
      <c r="E67" s="25"/>
      <c r="F67" s="26"/>
    </row>
    <row r="68" customFormat="false" ht="15" hidden="false" customHeight="false" outlineLevel="0" collapsed="false">
      <c r="A68" s="25"/>
      <c r="B68" s="26"/>
      <c r="C68" s="26"/>
      <c r="D68" s="25"/>
      <c r="E68" s="25"/>
      <c r="F68" s="26"/>
    </row>
    <row r="69" customFormat="false" ht="15" hidden="false" customHeight="false" outlineLevel="0" collapsed="false">
      <c r="A69" s="25"/>
      <c r="B69" s="26"/>
      <c r="C69" s="26"/>
      <c r="D69" s="25"/>
      <c r="E69" s="25"/>
      <c r="F69" s="26"/>
    </row>
    <row r="70" customFormat="false" ht="15" hidden="false" customHeight="false" outlineLevel="0" collapsed="false">
      <c r="A70" s="25"/>
      <c r="B70" s="26"/>
      <c r="C70" s="26"/>
      <c r="D70" s="25"/>
      <c r="E70" s="25"/>
      <c r="F70" s="26"/>
    </row>
    <row r="71" customFormat="false" ht="15" hidden="false" customHeight="false" outlineLevel="0" collapsed="false">
      <c r="A71" s="25"/>
      <c r="B71" s="26"/>
      <c r="C71" s="26"/>
      <c r="D71" s="25"/>
      <c r="E71" s="25"/>
      <c r="F71" s="26"/>
    </row>
    <row r="72" customFormat="false" ht="15" hidden="false" customHeight="false" outlineLevel="0" collapsed="false">
      <c r="A72" s="25"/>
      <c r="B72" s="26"/>
      <c r="C72" s="26"/>
      <c r="D72" s="25"/>
      <c r="E72" s="25"/>
      <c r="F72" s="26"/>
    </row>
    <row r="73" customFormat="false" ht="15" hidden="false" customHeight="false" outlineLevel="0" collapsed="false">
      <c r="A73" s="25"/>
      <c r="B73" s="26"/>
      <c r="C73" s="26"/>
      <c r="D73" s="25"/>
      <c r="E73" s="25"/>
      <c r="F73" s="26"/>
    </row>
    <row r="74" customFormat="false" ht="15" hidden="false" customHeight="false" outlineLevel="0" collapsed="false">
      <c r="A74" s="25"/>
      <c r="B74" s="26"/>
      <c r="C74" s="26"/>
      <c r="D74" s="25"/>
      <c r="E74" s="25"/>
      <c r="F74" s="26"/>
    </row>
    <row r="75" customFormat="false" ht="15" hidden="false" customHeight="false" outlineLevel="0" collapsed="false">
      <c r="A75" s="25"/>
      <c r="B75" s="26"/>
      <c r="C75" s="26"/>
      <c r="D75" s="25"/>
      <c r="E75" s="25"/>
      <c r="F75" s="26"/>
    </row>
    <row r="76" customFormat="false" ht="15" hidden="false" customHeight="false" outlineLevel="0" collapsed="false">
      <c r="A76" s="25"/>
      <c r="B76" s="26"/>
      <c r="C76" s="26"/>
      <c r="D76" s="25"/>
      <c r="E76" s="25"/>
      <c r="F76" s="26"/>
    </row>
    <row r="77" customFormat="false" ht="15" hidden="false" customHeight="false" outlineLevel="0" collapsed="false">
      <c r="A77" s="25"/>
      <c r="B77" s="26"/>
      <c r="C77" s="26"/>
      <c r="D77" s="25"/>
      <c r="E77" s="25"/>
      <c r="F77" s="26"/>
    </row>
    <row r="78" customFormat="false" ht="15" hidden="false" customHeight="false" outlineLevel="0" collapsed="false">
      <c r="A78" s="25"/>
      <c r="B78" s="26"/>
      <c r="C78" s="26"/>
      <c r="D78" s="25"/>
      <c r="E78" s="25"/>
      <c r="F78" s="26"/>
    </row>
    <row r="79" customFormat="false" ht="15" hidden="false" customHeight="false" outlineLevel="0" collapsed="false">
      <c r="A79" s="25"/>
      <c r="B79" s="26"/>
      <c r="C79" s="26"/>
      <c r="D79" s="25"/>
      <c r="E79" s="25"/>
      <c r="F79" s="26"/>
    </row>
    <row r="80" customFormat="false" ht="15" hidden="false" customHeight="false" outlineLevel="0" collapsed="false">
      <c r="A80" s="25"/>
      <c r="B80" s="26"/>
      <c r="C80" s="26"/>
      <c r="D80" s="25"/>
      <c r="E80" s="25"/>
      <c r="F80" s="26"/>
    </row>
  </sheetData>
  <conditionalFormatting sqref="E5:E80">
    <cfRule type="cellIs" priority="2" operator="equal" aboveAverage="0" equalAverage="0" bottom="0" percent="0" rank="0" text="" dxfId="0">
      <formula>"Hecho"</formula>
    </cfRule>
    <cfRule type="cellIs" priority="3" operator="equal" aboveAverage="0" equalAverage="0" bottom="0" percent="0" rank="0" text="" dxfId="1">
      <formula>"En curso"</formula>
    </cfRule>
    <cfRule type="cellIs" priority="4" operator="equal" aboveAverage="0" equalAverage="0" bottom="0" percent="0" rank="0" text="" dxfId="2">
      <formula>"Pendiente"</formula>
    </cfRule>
  </conditionalFormatting>
  <dataValidations count="2">
    <dataValidation allowBlank="true" errorStyle="stop" operator="between" showDropDown="false" showErrorMessage="false" showInputMessage="false" sqref="E5:E80" type="list">
      <formula1>"Pendiente,En curso,Hecho"</formula1>
      <formula2>0</formula2>
    </dataValidation>
    <dataValidation allowBlank="true" errorStyle="stop" operator="between" showDropDown="false" showErrorMessage="false" showInputMessage="false" sqref="D5:D80" type="list">
      <formula1>"Número 1,Número 2,Número 3,Todos"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62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6" min="6" style="0" width="38"/>
  </cols>
  <sheetData>
    <row r="1" customFormat="false" ht="17.35" hidden="false" customHeight="false" outlineLevel="0" collapsed="false">
      <c r="A1" s="19" t="s">
        <v>12</v>
      </c>
    </row>
    <row r="2" customFormat="false" ht="15" hidden="false" customHeight="false" outlineLevel="0" collapsed="false">
      <c r="A2" s="20" t="s">
        <v>28</v>
      </c>
      <c r="B2" s="21" t="n">
        <f aca="false">IF(COUNTA(C5:C80)=0,0,COUNTIF(E5:E80,"Hecho")/COUNTA(C5:C80))</f>
        <v>0</v>
      </c>
      <c r="C2" s="22" t="str">
        <f aca="false">COUNTIF(E5:E80,"Hecho")&amp;" de "&amp;COUNTA(C5:C80)&amp;" apartados hechos"</f>
        <v>0 de 9 apartados hechos</v>
      </c>
    </row>
    <row r="4" customFormat="false" ht="15" hidden="false" customHeight="false" outlineLevel="0" collapsed="false">
      <c r="A4" s="3" t="s">
        <v>29</v>
      </c>
      <c r="B4" s="3" t="s">
        <v>30</v>
      </c>
      <c r="C4" s="3" t="s">
        <v>31</v>
      </c>
      <c r="D4" s="3" t="s">
        <v>32</v>
      </c>
      <c r="E4" s="3" t="s">
        <v>33</v>
      </c>
      <c r="F4" s="3" t="s">
        <v>34</v>
      </c>
    </row>
    <row r="5" customFormat="false" ht="15" hidden="false" customHeight="false" outlineLevel="0" collapsed="false">
      <c r="A5" s="23" t="n">
        <v>1</v>
      </c>
      <c r="B5" s="24" t="s">
        <v>151</v>
      </c>
      <c r="C5" s="24" t="s">
        <v>152</v>
      </c>
      <c r="D5" s="23" t="s">
        <v>20</v>
      </c>
      <c r="E5" s="23" t="s">
        <v>37</v>
      </c>
      <c r="F5" s="24"/>
    </row>
    <row r="6" customFormat="false" ht="15" hidden="false" customHeight="false" outlineLevel="0" collapsed="false">
      <c r="A6" s="23" t="n">
        <v>2</v>
      </c>
      <c r="B6" s="24" t="s">
        <v>151</v>
      </c>
      <c r="C6" s="24" t="s">
        <v>153</v>
      </c>
      <c r="D6" s="23" t="s">
        <v>20</v>
      </c>
      <c r="E6" s="23" t="s">
        <v>37</v>
      </c>
      <c r="F6" s="24"/>
    </row>
    <row r="7" customFormat="false" ht="15" hidden="false" customHeight="false" outlineLevel="0" collapsed="false">
      <c r="A7" s="23" t="n">
        <v>3</v>
      </c>
      <c r="B7" s="24" t="s">
        <v>151</v>
      </c>
      <c r="C7" s="24" t="s">
        <v>154</v>
      </c>
      <c r="D7" s="23" t="s">
        <v>20</v>
      </c>
      <c r="E7" s="23" t="s">
        <v>37</v>
      </c>
      <c r="F7" s="24"/>
    </row>
    <row r="8" customFormat="false" ht="15" hidden="false" customHeight="false" outlineLevel="0" collapsed="false">
      <c r="A8" s="23" t="n">
        <v>4</v>
      </c>
      <c r="B8" s="24" t="s">
        <v>151</v>
      </c>
      <c r="C8" s="24" t="s">
        <v>155</v>
      </c>
      <c r="D8" s="23" t="s">
        <v>20</v>
      </c>
      <c r="E8" s="23" t="s">
        <v>37</v>
      </c>
      <c r="F8" s="24"/>
    </row>
    <row r="9" customFormat="false" ht="15" hidden="false" customHeight="false" outlineLevel="0" collapsed="false">
      <c r="A9" s="23" t="n">
        <v>5</v>
      </c>
      <c r="B9" s="24" t="s">
        <v>151</v>
      </c>
      <c r="C9" s="24" t="s">
        <v>156</v>
      </c>
      <c r="D9" s="23" t="s">
        <v>20</v>
      </c>
      <c r="E9" s="23" t="s">
        <v>37</v>
      </c>
      <c r="F9" s="24"/>
    </row>
    <row r="10" customFormat="false" ht="15" hidden="false" customHeight="false" outlineLevel="0" collapsed="false">
      <c r="A10" s="23" t="n">
        <v>6</v>
      </c>
      <c r="B10" s="24" t="s">
        <v>148</v>
      </c>
      <c r="C10" s="24" t="s">
        <v>157</v>
      </c>
      <c r="D10" s="23" t="s">
        <v>20</v>
      </c>
      <c r="E10" s="23" t="s">
        <v>37</v>
      </c>
      <c r="F10" s="24"/>
    </row>
    <row r="11" customFormat="false" ht="15" hidden="false" customHeight="false" outlineLevel="0" collapsed="false">
      <c r="A11" s="23" t="n">
        <v>7</v>
      </c>
      <c r="B11" s="24" t="s">
        <v>148</v>
      </c>
      <c r="C11" s="24" t="s">
        <v>158</v>
      </c>
      <c r="D11" s="23" t="s">
        <v>20</v>
      </c>
      <c r="E11" s="23" t="s">
        <v>37</v>
      </c>
      <c r="F11" s="24"/>
    </row>
    <row r="12" customFormat="false" ht="15" hidden="false" customHeight="false" outlineLevel="0" collapsed="false">
      <c r="A12" s="23" t="n">
        <v>8</v>
      </c>
      <c r="B12" s="24" t="s">
        <v>148</v>
      </c>
      <c r="C12" s="24" t="s">
        <v>159</v>
      </c>
      <c r="D12" s="23" t="s">
        <v>20</v>
      </c>
      <c r="E12" s="23" t="s">
        <v>37</v>
      </c>
      <c r="F12" s="24"/>
    </row>
    <row r="13" customFormat="false" ht="15" hidden="false" customHeight="false" outlineLevel="0" collapsed="false">
      <c r="A13" s="23" t="n">
        <v>9</v>
      </c>
      <c r="B13" s="24" t="s">
        <v>148</v>
      </c>
      <c r="C13" s="24" t="s">
        <v>160</v>
      </c>
      <c r="D13" s="23" t="s">
        <v>20</v>
      </c>
      <c r="E13" s="23" t="s">
        <v>37</v>
      </c>
      <c r="F13" s="24"/>
    </row>
    <row r="14" customFormat="false" ht="15" hidden="false" customHeight="false" outlineLevel="0" collapsed="false">
      <c r="A14" s="23"/>
      <c r="B14" s="24"/>
      <c r="C14" s="24"/>
      <c r="D14" s="23"/>
      <c r="E14" s="23"/>
      <c r="F14" s="24"/>
    </row>
    <row r="15" customFormat="false" ht="15" hidden="false" customHeight="false" outlineLevel="0" collapsed="false">
      <c r="A15" s="23"/>
      <c r="B15" s="24"/>
      <c r="C15" s="24"/>
      <c r="D15" s="23"/>
      <c r="E15" s="23"/>
      <c r="F15" s="24"/>
    </row>
    <row r="16" customFormat="false" ht="15" hidden="false" customHeight="false" outlineLevel="0" collapsed="false">
      <c r="A16" s="23"/>
      <c r="B16" s="24"/>
      <c r="C16" s="24"/>
      <c r="D16" s="23"/>
      <c r="E16" s="23"/>
      <c r="F16" s="24"/>
    </row>
    <row r="17" customFormat="false" ht="15" hidden="false" customHeight="false" outlineLevel="0" collapsed="false">
      <c r="A17" s="23"/>
      <c r="B17" s="24"/>
      <c r="C17" s="24"/>
      <c r="D17" s="23"/>
      <c r="E17" s="23"/>
      <c r="F17" s="24"/>
    </row>
    <row r="18" customFormat="false" ht="15" hidden="false" customHeight="false" outlineLevel="0" collapsed="false">
      <c r="A18" s="23"/>
      <c r="B18" s="24"/>
      <c r="C18" s="24"/>
      <c r="D18" s="23"/>
      <c r="E18" s="23"/>
      <c r="F18" s="24"/>
    </row>
    <row r="19" customFormat="false" ht="15" hidden="false" customHeight="false" outlineLevel="0" collapsed="false">
      <c r="A19" s="23"/>
      <c r="B19" s="24"/>
      <c r="C19" s="24"/>
      <c r="D19" s="23"/>
      <c r="E19" s="23"/>
      <c r="F19" s="24"/>
    </row>
    <row r="20" customFormat="false" ht="15" hidden="false" customHeight="false" outlineLevel="0" collapsed="false">
      <c r="A20" s="23"/>
      <c r="B20" s="24"/>
      <c r="C20" s="24"/>
      <c r="D20" s="23"/>
      <c r="E20" s="23"/>
      <c r="F20" s="24"/>
    </row>
    <row r="21" customFormat="false" ht="15" hidden="false" customHeight="false" outlineLevel="0" collapsed="false">
      <c r="A21" s="23"/>
      <c r="B21" s="24"/>
      <c r="C21" s="24"/>
      <c r="D21" s="23"/>
      <c r="E21" s="23"/>
      <c r="F21" s="24"/>
    </row>
    <row r="22" customFormat="false" ht="15" hidden="false" customHeight="false" outlineLevel="0" collapsed="false">
      <c r="A22" s="23"/>
      <c r="B22" s="24"/>
      <c r="C22" s="24"/>
      <c r="D22" s="23"/>
      <c r="E22" s="23"/>
      <c r="F22" s="24"/>
    </row>
    <row r="23" customFormat="false" ht="15" hidden="false" customHeight="false" outlineLevel="0" collapsed="false">
      <c r="A23" s="23"/>
      <c r="B23" s="24"/>
      <c r="C23" s="24"/>
      <c r="D23" s="23"/>
      <c r="E23" s="23"/>
      <c r="F23" s="24"/>
    </row>
    <row r="24" customFormat="false" ht="15" hidden="false" customHeight="false" outlineLevel="0" collapsed="false">
      <c r="A24" s="25"/>
      <c r="B24" s="26"/>
      <c r="C24" s="26"/>
      <c r="D24" s="25"/>
      <c r="E24" s="25"/>
      <c r="F24" s="26"/>
    </row>
    <row r="25" customFormat="false" ht="15" hidden="false" customHeight="false" outlineLevel="0" collapsed="false">
      <c r="A25" s="25"/>
      <c r="B25" s="26"/>
      <c r="C25" s="26"/>
      <c r="D25" s="25"/>
      <c r="E25" s="25"/>
      <c r="F25" s="26"/>
    </row>
    <row r="26" customFormat="false" ht="15" hidden="false" customHeight="false" outlineLevel="0" collapsed="false">
      <c r="A26" s="25"/>
      <c r="B26" s="26"/>
      <c r="C26" s="26"/>
      <c r="D26" s="25"/>
      <c r="E26" s="25"/>
      <c r="F26" s="26"/>
    </row>
    <row r="27" customFormat="false" ht="15" hidden="false" customHeight="false" outlineLevel="0" collapsed="false">
      <c r="A27" s="25"/>
      <c r="B27" s="26"/>
      <c r="C27" s="26"/>
      <c r="D27" s="25"/>
      <c r="E27" s="25"/>
      <c r="F27" s="26"/>
    </row>
    <row r="28" customFormat="false" ht="15" hidden="false" customHeight="false" outlineLevel="0" collapsed="false">
      <c r="A28" s="25"/>
      <c r="B28" s="26"/>
      <c r="C28" s="26"/>
      <c r="D28" s="25"/>
      <c r="E28" s="25"/>
      <c r="F28" s="26"/>
    </row>
    <row r="29" customFormat="false" ht="15" hidden="false" customHeight="false" outlineLevel="0" collapsed="false">
      <c r="A29" s="25"/>
      <c r="B29" s="26"/>
      <c r="C29" s="26"/>
      <c r="D29" s="25"/>
      <c r="E29" s="25"/>
      <c r="F29" s="26"/>
    </row>
    <row r="30" customFormat="false" ht="15" hidden="false" customHeight="false" outlineLevel="0" collapsed="false">
      <c r="A30" s="25"/>
      <c r="B30" s="26"/>
      <c r="C30" s="26"/>
      <c r="D30" s="25"/>
      <c r="E30" s="25"/>
      <c r="F30" s="26"/>
    </row>
    <row r="31" customFormat="false" ht="15" hidden="false" customHeight="false" outlineLevel="0" collapsed="false">
      <c r="A31" s="25"/>
      <c r="B31" s="26"/>
      <c r="C31" s="26"/>
      <c r="D31" s="25"/>
      <c r="E31" s="25"/>
      <c r="F31" s="26"/>
    </row>
    <row r="32" customFormat="false" ht="15" hidden="false" customHeight="false" outlineLevel="0" collapsed="false">
      <c r="A32" s="25"/>
      <c r="B32" s="26"/>
      <c r="C32" s="26"/>
      <c r="D32" s="25"/>
      <c r="E32" s="25"/>
      <c r="F32" s="26"/>
    </row>
    <row r="33" customFormat="false" ht="15" hidden="false" customHeight="false" outlineLevel="0" collapsed="false">
      <c r="A33" s="25"/>
      <c r="B33" s="26"/>
      <c r="C33" s="26"/>
      <c r="D33" s="25"/>
      <c r="E33" s="25"/>
      <c r="F33" s="26"/>
    </row>
    <row r="34" customFormat="false" ht="15" hidden="false" customHeight="false" outlineLevel="0" collapsed="false">
      <c r="A34" s="25"/>
      <c r="B34" s="26"/>
      <c r="C34" s="26"/>
      <c r="D34" s="25"/>
      <c r="E34" s="25"/>
      <c r="F34" s="26"/>
    </row>
    <row r="35" customFormat="false" ht="15" hidden="false" customHeight="false" outlineLevel="0" collapsed="false">
      <c r="A35" s="25"/>
      <c r="B35" s="26"/>
      <c r="C35" s="26"/>
      <c r="D35" s="25"/>
      <c r="E35" s="25"/>
      <c r="F35" s="26"/>
    </row>
    <row r="36" customFormat="false" ht="15" hidden="false" customHeight="false" outlineLevel="0" collapsed="false">
      <c r="A36" s="25"/>
      <c r="B36" s="26"/>
      <c r="C36" s="26"/>
      <c r="D36" s="25"/>
      <c r="E36" s="25"/>
      <c r="F36" s="26"/>
    </row>
    <row r="37" customFormat="false" ht="15" hidden="false" customHeight="false" outlineLevel="0" collapsed="false">
      <c r="A37" s="25"/>
      <c r="B37" s="26"/>
      <c r="C37" s="26"/>
      <c r="D37" s="25"/>
      <c r="E37" s="25"/>
      <c r="F37" s="26"/>
    </row>
    <row r="38" customFormat="false" ht="15" hidden="false" customHeight="false" outlineLevel="0" collapsed="false">
      <c r="A38" s="25"/>
      <c r="B38" s="26"/>
      <c r="C38" s="26"/>
      <c r="D38" s="25"/>
      <c r="E38" s="25"/>
      <c r="F38" s="26"/>
    </row>
    <row r="39" customFormat="false" ht="15" hidden="false" customHeight="false" outlineLevel="0" collapsed="false">
      <c r="A39" s="25"/>
      <c r="B39" s="26"/>
      <c r="C39" s="26"/>
      <c r="D39" s="25"/>
      <c r="E39" s="25"/>
      <c r="F39" s="26"/>
    </row>
    <row r="40" customFormat="false" ht="15" hidden="false" customHeight="false" outlineLevel="0" collapsed="false">
      <c r="A40" s="25"/>
      <c r="B40" s="26"/>
      <c r="C40" s="26"/>
      <c r="D40" s="25"/>
      <c r="E40" s="25"/>
      <c r="F40" s="26"/>
    </row>
    <row r="41" customFormat="false" ht="15" hidden="false" customHeight="false" outlineLevel="0" collapsed="false">
      <c r="A41" s="25"/>
      <c r="B41" s="26"/>
      <c r="C41" s="26"/>
      <c r="D41" s="25"/>
      <c r="E41" s="25"/>
      <c r="F41" s="26"/>
    </row>
    <row r="42" customFormat="false" ht="15" hidden="false" customHeight="false" outlineLevel="0" collapsed="false">
      <c r="A42" s="25"/>
      <c r="B42" s="26"/>
      <c r="C42" s="26"/>
      <c r="D42" s="25"/>
      <c r="E42" s="25"/>
      <c r="F42" s="26"/>
    </row>
    <row r="43" customFormat="false" ht="15" hidden="false" customHeight="false" outlineLevel="0" collapsed="false">
      <c r="A43" s="25"/>
      <c r="B43" s="26"/>
      <c r="C43" s="26"/>
      <c r="D43" s="25"/>
      <c r="E43" s="25"/>
      <c r="F43" s="26"/>
    </row>
    <row r="44" customFormat="false" ht="15" hidden="false" customHeight="false" outlineLevel="0" collapsed="false">
      <c r="A44" s="25"/>
      <c r="B44" s="26"/>
      <c r="C44" s="26"/>
      <c r="D44" s="25"/>
      <c r="E44" s="25"/>
      <c r="F44" s="26"/>
    </row>
    <row r="45" customFormat="false" ht="15" hidden="false" customHeight="false" outlineLevel="0" collapsed="false">
      <c r="A45" s="25"/>
      <c r="B45" s="26"/>
      <c r="C45" s="26"/>
      <c r="D45" s="25"/>
      <c r="E45" s="25"/>
      <c r="F45" s="26"/>
    </row>
    <row r="46" customFormat="false" ht="15" hidden="false" customHeight="false" outlineLevel="0" collapsed="false">
      <c r="A46" s="25"/>
      <c r="B46" s="26"/>
      <c r="C46" s="26"/>
      <c r="D46" s="25"/>
      <c r="E46" s="25"/>
      <c r="F46" s="26"/>
    </row>
    <row r="47" customFormat="false" ht="15" hidden="false" customHeight="false" outlineLevel="0" collapsed="false">
      <c r="A47" s="25"/>
      <c r="B47" s="26"/>
      <c r="C47" s="26"/>
      <c r="D47" s="25"/>
      <c r="E47" s="25"/>
      <c r="F47" s="26"/>
    </row>
    <row r="48" customFormat="false" ht="15" hidden="false" customHeight="false" outlineLevel="0" collapsed="false">
      <c r="A48" s="25"/>
      <c r="B48" s="26"/>
      <c r="C48" s="26"/>
      <c r="D48" s="25"/>
      <c r="E48" s="25"/>
      <c r="F48" s="26"/>
    </row>
    <row r="49" customFormat="false" ht="15" hidden="false" customHeight="false" outlineLevel="0" collapsed="false">
      <c r="A49" s="25"/>
      <c r="B49" s="26"/>
      <c r="C49" s="26"/>
      <c r="D49" s="25"/>
      <c r="E49" s="25"/>
      <c r="F49" s="26"/>
    </row>
    <row r="50" customFormat="false" ht="15" hidden="false" customHeight="false" outlineLevel="0" collapsed="false">
      <c r="A50" s="25"/>
      <c r="B50" s="26"/>
      <c r="C50" s="26"/>
      <c r="D50" s="25"/>
      <c r="E50" s="25"/>
      <c r="F50" s="26"/>
    </row>
    <row r="51" customFormat="false" ht="15" hidden="false" customHeight="false" outlineLevel="0" collapsed="false">
      <c r="A51" s="25"/>
      <c r="B51" s="26"/>
      <c r="C51" s="26"/>
      <c r="D51" s="25"/>
      <c r="E51" s="25"/>
      <c r="F51" s="26"/>
    </row>
    <row r="52" customFormat="false" ht="15" hidden="false" customHeight="false" outlineLevel="0" collapsed="false">
      <c r="A52" s="25"/>
      <c r="B52" s="26"/>
      <c r="C52" s="26"/>
      <c r="D52" s="25"/>
      <c r="E52" s="25"/>
      <c r="F52" s="26"/>
    </row>
    <row r="53" customFormat="false" ht="15" hidden="false" customHeight="false" outlineLevel="0" collapsed="false">
      <c r="A53" s="25"/>
      <c r="B53" s="26"/>
      <c r="C53" s="26"/>
      <c r="D53" s="25"/>
      <c r="E53" s="25"/>
      <c r="F53" s="26"/>
    </row>
    <row r="54" customFormat="false" ht="15" hidden="false" customHeight="false" outlineLevel="0" collapsed="false">
      <c r="A54" s="25"/>
      <c r="B54" s="26"/>
      <c r="C54" s="26"/>
      <c r="D54" s="25"/>
      <c r="E54" s="25"/>
      <c r="F54" s="26"/>
    </row>
    <row r="55" customFormat="false" ht="15" hidden="false" customHeight="false" outlineLevel="0" collapsed="false">
      <c r="A55" s="25"/>
      <c r="B55" s="26"/>
      <c r="C55" s="26"/>
      <c r="D55" s="25"/>
      <c r="E55" s="25"/>
      <c r="F55" s="26"/>
    </row>
    <row r="56" customFormat="false" ht="15" hidden="false" customHeight="false" outlineLevel="0" collapsed="false">
      <c r="A56" s="25"/>
      <c r="B56" s="26"/>
      <c r="C56" s="26"/>
      <c r="D56" s="25"/>
      <c r="E56" s="25"/>
      <c r="F56" s="26"/>
    </row>
    <row r="57" customFormat="false" ht="15" hidden="false" customHeight="false" outlineLevel="0" collapsed="false">
      <c r="A57" s="25"/>
      <c r="B57" s="26"/>
      <c r="C57" s="26"/>
      <c r="D57" s="25"/>
      <c r="E57" s="25"/>
      <c r="F57" s="26"/>
    </row>
    <row r="58" customFormat="false" ht="15" hidden="false" customHeight="false" outlineLevel="0" collapsed="false">
      <c r="A58" s="25"/>
      <c r="B58" s="26"/>
      <c r="C58" s="26"/>
      <c r="D58" s="25"/>
      <c r="E58" s="25"/>
      <c r="F58" s="26"/>
    </row>
    <row r="59" customFormat="false" ht="15" hidden="false" customHeight="false" outlineLevel="0" collapsed="false">
      <c r="A59" s="25"/>
      <c r="B59" s="26"/>
      <c r="C59" s="26"/>
      <c r="D59" s="25"/>
      <c r="E59" s="25"/>
      <c r="F59" s="26"/>
    </row>
    <row r="60" customFormat="false" ht="15" hidden="false" customHeight="false" outlineLevel="0" collapsed="false">
      <c r="A60" s="25"/>
      <c r="B60" s="26"/>
      <c r="C60" s="26"/>
      <c r="D60" s="25"/>
      <c r="E60" s="25"/>
      <c r="F60" s="26"/>
    </row>
    <row r="61" customFormat="false" ht="15" hidden="false" customHeight="false" outlineLevel="0" collapsed="false">
      <c r="A61" s="25"/>
      <c r="B61" s="26"/>
      <c r="C61" s="26"/>
      <c r="D61" s="25"/>
      <c r="E61" s="25"/>
      <c r="F61" s="26"/>
    </row>
    <row r="62" customFormat="false" ht="15" hidden="false" customHeight="false" outlineLevel="0" collapsed="false">
      <c r="A62" s="25"/>
      <c r="B62" s="26"/>
      <c r="C62" s="26"/>
      <c r="D62" s="25"/>
      <c r="E62" s="25"/>
      <c r="F62" s="26"/>
    </row>
    <row r="63" customFormat="false" ht="15" hidden="false" customHeight="false" outlineLevel="0" collapsed="false">
      <c r="A63" s="25"/>
      <c r="B63" s="26"/>
      <c r="C63" s="26"/>
      <c r="D63" s="25"/>
      <c r="E63" s="25"/>
      <c r="F63" s="26"/>
    </row>
    <row r="64" customFormat="false" ht="15" hidden="false" customHeight="false" outlineLevel="0" collapsed="false">
      <c r="A64" s="25"/>
      <c r="B64" s="26"/>
      <c r="C64" s="26"/>
      <c r="D64" s="25"/>
      <c r="E64" s="25"/>
      <c r="F64" s="26"/>
    </row>
    <row r="65" customFormat="false" ht="15" hidden="false" customHeight="false" outlineLevel="0" collapsed="false">
      <c r="A65" s="25"/>
      <c r="B65" s="26"/>
      <c r="C65" s="26"/>
      <c r="D65" s="25"/>
      <c r="E65" s="25"/>
      <c r="F65" s="26"/>
    </row>
    <row r="66" customFormat="false" ht="15" hidden="false" customHeight="false" outlineLevel="0" collapsed="false">
      <c r="A66" s="25"/>
      <c r="B66" s="26"/>
      <c r="C66" s="26"/>
      <c r="D66" s="25"/>
      <c r="E66" s="25"/>
      <c r="F66" s="26"/>
    </row>
    <row r="67" customFormat="false" ht="15" hidden="false" customHeight="false" outlineLevel="0" collapsed="false">
      <c r="A67" s="25"/>
      <c r="B67" s="26"/>
      <c r="C67" s="26"/>
      <c r="D67" s="25"/>
      <c r="E67" s="25"/>
      <c r="F67" s="26"/>
    </row>
    <row r="68" customFormat="false" ht="15" hidden="false" customHeight="false" outlineLevel="0" collapsed="false">
      <c r="A68" s="25"/>
      <c r="B68" s="26"/>
      <c r="C68" s="26"/>
      <c r="D68" s="25"/>
      <c r="E68" s="25"/>
      <c r="F68" s="26"/>
    </row>
    <row r="69" customFormat="false" ht="15" hidden="false" customHeight="false" outlineLevel="0" collapsed="false">
      <c r="A69" s="25"/>
      <c r="B69" s="26"/>
      <c r="C69" s="26"/>
      <c r="D69" s="25"/>
      <c r="E69" s="25"/>
      <c r="F69" s="26"/>
    </row>
    <row r="70" customFormat="false" ht="15" hidden="false" customHeight="false" outlineLevel="0" collapsed="false">
      <c r="A70" s="25"/>
      <c r="B70" s="26"/>
      <c r="C70" s="26"/>
      <c r="D70" s="25"/>
      <c r="E70" s="25"/>
      <c r="F70" s="26"/>
    </row>
    <row r="71" customFormat="false" ht="15" hidden="false" customHeight="false" outlineLevel="0" collapsed="false">
      <c r="A71" s="25"/>
      <c r="B71" s="26"/>
      <c r="C71" s="26"/>
      <c r="D71" s="25"/>
      <c r="E71" s="25"/>
      <c r="F71" s="26"/>
    </row>
    <row r="72" customFormat="false" ht="15" hidden="false" customHeight="false" outlineLevel="0" collapsed="false">
      <c r="A72" s="25"/>
      <c r="B72" s="26"/>
      <c r="C72" s="26"/>
      <c r="D72" s="25"/>
      <c r="E72" s="25"/>
      <c r="F72" s="26"/>
    </row>
    <row r="73" customFormat="false" ht="15" hidden="false" customHeight="false" outlineLevel="0" collapsed="false">
      <c r="A73" s="25"/>
      <c r="B73" s="26"/>
      <c r="C73" s="26"/>
      <c r="D73" s="25"/>
      <c r="E73" s="25"/>
      <c r="F73" s="26"/>
    </row>
    <row r="74" customFormat="false" ht="15" hidden="false" customHeight="false" outlineLevel="0" collapsed="false">
      <c r="A74" s="25"/>
      <c r="B74" s="26"/>
      <c r="C74" s="26"/>
      <c r="D74" s="25"/>
      <c r="E74" s="25"/>
      <c r="F74" s="26"/>
    </row>
    <row r="75" customFormat="false" ht="15" hidden="false" customHeight="false" outlineLevel="0" collapsed="false">
      <c r="A75" s="25"/>
      <c r="B75" s="26"/>
      <c r="C75" s="26"/>
      <c r="D75" s="25"/>
      <c r="E75" s="25"/>
      <c r="F75" s="26"/>
    </row>
    <row r="76" customFormat="false" ht="15" hidden="false" customHeight="false" outlineLevel="0" collapsed="false">
      <c r="A76" s="25"/>
      <c r="B76" s="26"/>
      <c r="C76" s="26"/>
      <c r="D76" s="25"/>
      <c r="E76" s="25"/>
      <c r="F76" s="26"/>
    </row>
    <row r="77" customFormat="false" ht="15" hidden="false" customHeight="false" outlineLevel="0" collapsed="false">
      <c r="A77" s="25"/>
      <c r="B77" s="26"/>
      <c r="C77" s="26"/>
      <c r="D77" s="25"/>
      <c r="E77" s="25"/>
      <c r="F77" s="26"/>
    </row>
    <row r="78" customFormat="false" ht="15" hidden="false" customHeight="false" outlineLevel="0" collapsed="false">
      <c r="A78" s="25"/>
      <c r="B78" s="26"/>
      <c r="C78" s="26"/>
      <c r="D78" s="25"/>
      <c r="E78" s="25"/>
      <c r="F78" s="26"/>
    </row>
    <row r="79" customFormat="false" ht="15" hidden="false" customHeight="false" outlineLevel="0" collapsed="false">
      <c r="A79" s="25"/>
      <c r="B79" s="26"/>
      <c r="C79" s="26"/>
      <c r="D79" s="25"/>
      <c r="E79" s="25"/>
      <c r="F79" s="26"/>
    </row>
    <row r="80" customFormat="false" ht="15" hidden="false" customHeight="false" outlineLevel="0" collapsed="false">
      <c r="A80" s="25"/>
      <c r="B80" s="26"/>
      <c r="C80" s="26"/>
      <c r="D80" s="25"/>
      <c r="E80" s="25"/>
      <c r="F80" s="26"/>
    </row>
  </sheetData>
  <conditionalFormatting sqref="E5:E80">
    <cfRule type="cellIs" priority="2" operator="equal" aboveAverage="0" equalAverage="0" bottom="0" percent="0" rank="0" text="" dxfId="0">
      <formula>"Hecho"</formula>
    </cfRule>
    <cfRule type="cellIs" priority="3" operator="equal" aboveAverage="0" equalAverage="0" bottom="0" percent="0" rank="0" text="" dxfId="1">
      <formula>"En curso"</formula>
    </cfRule>
    <cfRule type="cellIs" priority="4" operator="equal" aboveAverage="0" equalAverage="0" bottom="0" percent="0" rank="0" text="" dxfId="2">
      <formula>"Pendiente"</formula>
    </cfRule>
  </conditionalFormatting>
  <dataValidations count="2">
    <dataValidation allowBlank="true" errorStyle="stop" operator="between" showDropDown="false" showErrorMessage="false" showInputMessage="false" sqref="E5:E80" type="list">
      <formula1>"Pendiente,En curso,Hecho"</formula1>
      <formula2>0</formula2>
    </dataValidation>
    <dataValidation allowBlank="true" errorStyle="stop" operator="between" showDropDown="false" showErrorMessage="false" showInputMessage="false" sqref="D5:D80" type="list">
      <formula1>"Número 1,Número 2,Número 3,Todos"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62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6" min="6" style="0" width="38"/>
  </cols>
  <sheetData>
    <row r="1" customFormat="false" ht="17.35" hidden="false" customHeight="false" outlineLevel="0" collapsed="false">
      <c r="A1" s="19" t="s">
        <v>13</v>
      </c>
    </row>
    <row r="2" customFormat="false" ht="15" hidden="false" customHeight="false" outlineLevel="0" collapsed="false">
      <c r="A2" s="20" t="s">
        <v>28</v>
      </c>
      <c r="B2" s="21" t="n">
        <f aca="false">IF(COUNTA(C5:C80)=0,0,COUNTIF(E5:E80,"Hecho")/COUNTA(C5:C80))</f>
        <v>0</v>
      </c>
      <c r="C2" s="22" t="str">
        <f aca="false">COUNTIF(E5:E80,"Hecho")&amp;" de "&amp;COUNTA(C5:C80)&amp;" apartados hechos"</f>
        <v>0 de 11 apartados hechos</v>
      </c>
    </row>
    <row r="4" customFormat="false" ht="15" hidden="false" customHeight="false" outlineLevel="0" collapsed="false">
      <c r="A4" s="3" t="s">
        <v>29</v>
      </c>
      <c r="B4" s="3" t="s">
        <v>30</v>
      </c>
      <c r="C4" s="3" t="s">
        <v>31</v>
      </c>
      <c r="D4" s="3" t="s">
        <v>32</v>
      </c>
      <c r="E4" s="3" t="s">
        <v>33</v>
      </c>
      <c r="F4" s="3" t="s">
        <v>34</v>
      </c>
    </row>
    <row r="5" customFormat="false" ht="15" hidden="false" customHeight="false" outlineLevel="0" collapsed="false">
      <c r="A5" s="23" t="n">
        <v>1</v>
      </c>
      <c r="B5" s="24" t="s">
        <v>161</v>
      </c>
      <c r="C5" s="24" t="s">
        <v>162</v>
      </c>
      <c r="D5" s="23" t="s">
        <v>20</v>
      </c>
      <c r="E5" s="23" t="s">
        <v>37</v>
      </c>
      <c r="F5" s="24"/>
    </row>
    <row r="6" customFormat="false" ht="15" hidden="false" customHeight="false" outlineLevel="0" collapsed="false">
      <c r="A6" s="23" t="n">
        <v>2</v>
      </c>
      <c r="B6" s="24" t="s">
        <v>161</v>
      </c>
      <c r="C6" s="24" t="s">
        <v>163</v>
      </c>
      <c r="D6" s="23" t="s">
        <v>20</v>
      </c>
      <c r="E6" s="23" t="s">
        <v>37</v>
      </c>
      <c r="F6" s="24"/>
    </row>
    <row r="7" customFormat="false" ht="23.85" hidden="false" customHeight="false" outlineLevel="0" collapsed="false">
      <c r="A7" s="23" t="n">
        <v>3</v>
      </c>
      <c r="B7" s="24" t="s">
        <v>164</v>
      </c>
      <c r="C7" s="24" t="s">
        <v>165</v>
      </c>
      <c r="D7" s="23" t="s">
        <v>20</v>
      </c>
      <c r="E7" s="23" t="s">
        <v>37</v>
      </c>
      <c r="F7" s="24"/>
    </row>
    <row r="8" customFormat="false" ht="15" hidden="false" customHeight="false" outlineLevel="0" collapsed="false">
      <c r="A8" s="23" t="n">
        <v>4</v>
      </c>
      <c r="B8" s="24" t="s">
        <v>164</v>
      </c>
      <c r="C8" s="24" t="s">
        <v>166</v>
      </c>
      <c r="D8" s="23" t="s">
        <v>20</v>
      </c>
      <c r="E8" s="23" t="s">
        <v>37</v>
      </c>
      <c r="F8" s="24"/>
    </row>
    <row r="9" customFormat="false" ht="15" hidden="false" customHeight="false" outlineLevel="0" collapsed="false">
      <c r="A9" s="23" t="n">
        <v>5</v>
      </c>
      <c r="B9" s="24" t="s">
        <v>164</v>
      </c>
      <c r="C9" s="24" t="s">
        <v>167</v>
      </c>
      <c r="D9" s="23" t="s">
        <v>20</v>
      </c>
      <c r="E9" s="23" t="s">
        <v>37</v>
      </c>
      <c r="F9" s="24"/>
    </row>
    <row r="10" customFormat="false" ht="15" hidden="false" customHeight="false" outlineLevel="0" collapsed="false">
      <c r="A10" s="23" t="n">
        <v>6</v>
      </c>
      <c r="B10" s="24" t="s">
        <v>168</v>
      </c>
      <c r="C10" s="24" t="s">
        <v>169</v>
      </c>
      <c r="D10" s="23" t="s">
        <v>20</v>
      </c>
      <c r="E10" s="23" t="s">
        <v>37</v>
      </c>
      <c r="F10" s="24"/>
    </row>
    <row r="11" customFormat="false" ht="15" hidden="false" customHeight="false" outlineLevel="0" collapsed="false">
      <c r="A11" s="23" t="n">
        <v>7</v>
      </c>
      <c r="B11" s="24" t="s">
        <v>168</v>
      </c>
      <c r="C11" s="24" t="s">
        <v>170</v>
      </c>
      <c r="D11" s="23" t="s">
        <v>20</v>
      </c>
      <c r="E11" s="23" t="s">
        <v>37</v>
      </c>
      <c r="F11" s="24"/>
    </row>
    <row r="12" customFormat="false" ht="15" hidden="false" customHeight="false" outlineLevel="0" collapsed="false">
      <c r="A12" s="23" t="n">
        <v>8</v>
      </c>
      <c r="B12" s="24" t="s">
        <v>148</v>
      </c>
      <c r="C12" s="24" t="s">
        <v>171</v>
      </c>
      <c r="D12" s="23" t="s">
        <v>20</v>
      </c>
      <c r="E12" s="23" t="s">
        <v>37</v>
      </c>
      <c r="F12" s="24"/>
    </row>
    <row r="13" customFormat="false" ht="15" hidden="false" customHeight="false" outlineLevel="0" collapsed="false">
      <c r="A13" s="23" t="n">
        <v>9</v>
      </c>
      <c r="B13" s="24" t="s">
        <v>148</v>
      </c>
      <c r="C13" s="24" t="s">
        <v>172</v>
      </c>
      <c r="D13" s="23" t="s">
        <v>20</v>
      </c>
      <c r="E13" s="23" t="s">
        <v>37</v>
      </c>
      <c r="F13" s="24"/>
    </row>
    <row r="14" customFormat="false" ht="15" hidden="false" customHeight="false" outlineLevel="0" collapsed="false">
      <c r="A14" s="23" t="n">
        <v>10</v>
      </c>
      <c r="B14" s="24" t="s">
        <v>148</v>
      </c>
      <c r="C14" s="24" t="s">
        <v>173</v>
      </c>
      <c r="D14" s="23" t="s">
        <v>20</v>
      </c>
      <c r="E14" s="23" t="s">
        <v>37</v>
      </c>
      <c r="F14" s="24"/>
    </row>
    <row r="15" customFormat="false" ht="15" hidden="false" customHeight="false" outlineLevel="0" collapsed="false">
      <c r="A15" s="23" t="n">
        <v>11</v>
      </c>
      <c r="B15" s="24" t="s">
        <v>148</v>
      </c>
      <c r="C15" s="24" t="s">
        <v>174</v>
      </c>
      <c r="D15" s="23" t="s">
        <v>20</v>
      </c>
      <c r="E15" s="23" t="s">
        <v>37</v>
      </c>
      <c r="F15" s="24"/>
    </row>
    <row r="16" customFormat="false" ht="15" hidden="false" customHeight="false" outlineLevel="0" collapsed="false">
      <c r="A16" s="23"/>
      <c r="B16" s="24"/>
      <c r="C16" s="24"/>
      <c r="D16" s="23"/>
      <c r="E16" s="23"/>
      <c r="F16" s="24"/>
    </row>
    <row r="17" customFormat="false" ht="15" hidden="false" customHeight="false" outlineLevel="0" collapsed="false">
      <c r="A17" s="23"/>
      <c r="B17" s="24"/>
      <c r="C17" s="24"/>
      <c r="D17" s="23"/>
      <c r="E17" s="23"/>
      <c r="F17" s="24"/>
    </row>
    <row r="18" customFormat="false" ht="15" hidden="false" customHeight="false" outlineLevel="0" collapsed="false">
      <c r="A18" s="23"/>
      <c r="B18" s="24"/>
      <c r="C18" s="24"/>
      <c r="D18" s="23"/>
      <c r="E18" s="23"/>
      <c r="F18" s="24"/>
    </row>
    <row r="19" customFormat="false" ht="15" hidden="false" customHeight="false" outlineLevel="0" collapsed="false">
      <c r="A19" s="23"/>
      <c r="B19" s="24"/>
      <c r="C19" s="24"/>
      <c r="D19" s="23"/>
      <c r="E19" s="23"/>
      <c r="F19" s="24"/>
    </row>
    <row r="20" customFormat="false" ht="15" hidden="false" customHeight="false" outlineLevel="0" collapsed="false">
      <c r="A20" s="23"/>
      <c r="B20" s="24"/>
      <c r="C20" s="24"/>
      <c r="D20" s="23"/>
      <c r="E20" s="23"/>
      <c r="F20" s="24"/>
    </row>
    <row r="21" customFormat="false" ht="15" hidden="false" customHeight="false" outlineLevel="0" collapsed="false">
      <c r="A21" s="23"/>
      <c r="B21" s="24"/>
      <c r="C21" s="24"/>
      <c r="D21" s="23"/>
      <c r="E21" s="23"/>
      <c r="F21" s="24"/>
    </row>
    <row r="22" customFormat="false" ht="15" hidden="false" customHeight="false" outlineLevel="0" collapsed="false">
      <c r="A22" s="23"/>
      <c r="B22" s="24"/>
      <c r="C22" s="24"/>
      <c r="D22" s="23"/>
      <c r="E22" s="23"/>
      <c r="F22" s="24"/>
    </row>
    <row r="23" customFormat="false" ht="15" hidden="false" customHeight="false" outlineLevel="0" collapsed="false">
      <c r="A23" s="23"/>
      <c r="B23" s="24"/>
      <c r="C23" s="24"/>
      <c r="D23" s="23"/>
      <c r="E23" s="23"/>
      <c r="F23" s="24"/>
    </row>
    <row r="24" customFormat="false" ht="15" hidden="false" customHeight="false" outlineLevel="0" collapsed="false">
      <c r="A24" s="23"/>
      <c r="B24" s="24"/>
      <c r="C24" s="24"/>
      <c r="D24" s="23"/>
      <c r="E24" s="23"/>
      <c r="F24" s="24"/>
    </row>
    <row r="25" customFormat="false" ht="15" hidden="false" customHeight="false" outlineLevel="0" collapsed="false">
      <c r="A25" s="23"/>
      <c r="B25" s="24"/>
      <c r="C25" s="24"/>
      <c r="D25" s="23"/>
      <c r="E25" s="23"/>
      <c r="F25" s="24"/>
    </row>
    <row r="26" customFormat="false" ht="15" hidden="false" customHeight="false" outlineLevel="0" collapsed="false">
      <c r="A26" s="25"/>
      <c r="B26" s="26"/>
      <c r="C26" s="26"/>
      <c r="D26" s="25"/>
      <c r="E26" s="25"/>
      <c r="F26" s="26"/>
    </row>
    <row r="27" customFormat="false" ht="15" hidden="false" customHeight="false" outlineLevel="0" collapsed="false">
      <c r="A27" s="25"/>
      <c r="B27" s="26"/>
      <c r="C27" s="26"/>
      <c r="D27" s="25"/>
      <c r="E27" s="25"/>
      <c r="F27" s="26"/>
    </row>
    <row r="28" customFormat="false" ht="15" hidden="false" customHeight="false" outlineLevel="0" collapsed="false">
      <c r="A28" s="25"/>
      <c r="B28" s="26"/>
      <c r="C28" s="26"/>
      <c r="D28" s="25"/>
      <c r="E28" s="25"/>
      <c r="F28" s="26"/>
    </row>
    <row r="29" customFormat="false" ht="15" hidden="false" customHeight="false" outlineLevel="0" collapsed="false">
      <c r="A29" s="25"/>
      <c r="B29" s="26"/>
      <c r="C29" s="26"/>
      <c r="D29" s="25"/>
      <c r="E29" s="25"/>
      <c r="F29" s="26"/>
    </row>
    <row r="30" customFormat="false" ht="15" hidden="false" customHeight="false" outlineLevel="0" collapsed="false">
      <c r="A30" s="25"/>
      <c r="B30" s="26"/>
      <c r="C30" s="26"/>
      <c r="D30" s="25"/>
      <c r="E30" s="25"/>
      <c r="F30" s="26"/>
    </row>
    <row r="31" customFormat="false" ht="15" hidden="false" customHeight="false" outlineLevel="0" collapsed="false">
      <c r="A31" s="25"/>
      <c r="B31" s="26"/>
      <c r="C31" s="26"/>
      <c r="D31" s="25"/>
      <c r="E31" s="25"/>
      <c r="F31" s="26"/>
    </row>
    <row r="32" customFormat="false" ht="15" hidden="false" customHeight="false" outlineLevel="0" collapsed="false">
      <c r="A32" s="25"/>
      <c r="B32" s="26"/>
      <c r="C32" s="26"/>
      <c r="D32" s="25"/>
      <c r="E32" s="25"/>
      <c r="F32" s="26"/>
    </row>
    <row r="33" customFormat="false" ht="15" hidden="false" customHeight="false" outlineLevel="0" collapsed="false">
      <c r="A33" s="25"/>
      <c r="B33" s="26"/>
      <c r="C33" s="26"/>
      <c r="D33" s="25"/>
      <c r="E33" s="25"/>
      <c r="F33" s="26"/>
    </row>
    <row r="34" customFormat="false" ht="15" hidden="false" customHeight="false" outlineLevel="0" collapsed="false">
      <c r="A34" s="25"/>
      <c r="B34" s="26"/>
      <c r="C34" s="26"/>
      <c r="D34" s="25"/>
      <c r="E34" s="25"/>
      <c r="F34" s="26"/>
    </row>
    <row r="35" customFormat="false" ht="15" hidden="false" customHeight="false" outlineLevel="0" collapsed="false">
      <c r="A35" s="25"/>
      <c r="B35" s="26"/>
      <c r="C35" s="26"/>
      <c r="D35" s="25"/>
      <c r="E35" s="25"/>
      <c r="F35" s="26"/>
    </row>
    <row r="36" customFormat="false" ht="15" hidden="false" customHeight="false" outlineLevel="0" collapsed="false">
      <c r="A36" s="25"/>
      <c r="B36" s="26"/>
      <c r="C36" s="26"/>
      <c r="D36" s="25"/>
      <c r="E36" s="25"/>
      <c r="F36" s="26"/>
    </row>
    <row r="37" customFormat="false" ht="15" hidden="false" customHeight="false" outlineLevel="0" collapsed="false">
      <c r="A37" s="25"/>
      <c r="B37" s="26"/>
      <c r="C37" s="26"/>
      <c r="D37" s="25"/>
      <c r="E37" s="25"/>
      <c r="F37" s="26"/>
    </row>
    <row r="38" customFormat="false" ht="15" hidden="false" customHeight="false" outlineLevel="0" collapsed="false">
      <c r="A38" s="25"/>
      <c r="B38" s="26"/>
      <c r="C38" s="26"/>
      <c r="D38" s="25"/>
      <c r="E38" s="25"/>
      <c r="F38" s="26"/>
    </row>
    <row r="39" customFormat="false" ht="15" hidden="false" customHeight="false" outlineLevel="0" collapsed="false">
      <c r="A39" s="25"/>
      <c r="B39" s="26"/>
      <c r="C39" s="26"/>
      <c r="D39" s="25"/>
      <c r="E39" s="25"/>
      <c r="F39" s="26"/>
    </row>
    <row r="40" customFormat="false" ht="15" hidden="false" customHeight="false" outlineLevel="0" collapsed="false">
      <c r="A40" s="25"/>
      <c r="B40" s="26"/>
      <c r="C40" s="26"/>
      <c r="D40" s="25"/>
      <c r="E40" s="25"/>
      <c r="F40" s="26"/>
    </row>
    <row r="41" customFormat="false" ht="15" hidden="false" customHeight="false" outlineLevel="0" collapsed="false">
      <c r="A41" s="25"/>
      <c r="B41" s="26"/>
      <c r="C41" s="26"/>
      <c r="D41" s="25"/>
      <c r="E41" s="25"/>
      <c r="F41" s="26"/>
    </row>
    <row r="42" customFormat="false" ht="15" hidden="false" customHeight="false" outlineLevel="0" collapsed="false">
      <c r="A42" s="25"/>
      <c r="B42" s="26"/>
      <c r="C42" s="26"/>
      <c r="D42" s="25"/>
      <c r="E42" s="25"/>
      <c r="F42" s="26"/>
    </row>
    <row r="43" customFormat="false" ht="15" hidden="false" customHeight="false" outlineLevel="0" collapsed="false">
      <c r="A43" s="25"/>
      <c r="B43" s="26"/>
      <c r="C43" s="26"/>
      <c r="D43" s="25"/>
      <c r="E43" s="25"/>
      <c r="F43" s="26"/>
    </row>
    <row r="44" customFormat="false" ht="15" hidden="false" customHeight="false" outlineLevel="0" collapsed="false">
      <c r="A44" s="25"/>
      <c r="B44" s="26"/>
      <c r="C44" s="26"/>
      <c r="D44" s="25"/>
      <c r="E44" s="25"/>
      <c r="F44" s="26"/>
    </row>
    <row r="45" customFormat="false" ht="15" hidden="false" customHeight="false" outlineLevel="0" collapsed="false">
      <c r="A45" s="25"/>
      <c r="B45" s="26"/>
      <c r="C45" s="26"/>
      <c r="D45" s="25"/>
      <c r="E45" s="25"/>
      <c r="F45" s="26"/>
    </row>
    <row r="46" customFormat="false" ht="15" hidden="false" customHeight="false" outlineLevel="0" collapsed="false">
      <c r="A46" s="25"/>
      <c r="B46" s="26"/>
      <c r="C46" s="26"/>
      <c r="D46" s="25"/>
      <c r="E46" s="25"/>
      <c r="F46" s="26"/>
    </row>
    <row r="47" customFormat="false" ht="15" hidden="false" customHeight="false" outlineLevel="0" collapsed="false">
      <c r="A47" s="25"/>
      <c r="B47" s="26"/>
      <c r="C47" s="26"/>
      <c r="D47" s="25"/>
      <c r="E47" s="25"/>
      <c r="F47" s="26"/>
    </row>
    <row r="48" customFormat="false" ht="15" hidden="false" customHeight="false" outlineLevel="0" collapsed="false">
      <c r="A48" s="25"/>
      <c r="B48" s="26"/>
      <c r="C48" s="26"/>
      <c r="D48" s="25"/>
      <c r="E48" s="25"/>
      <c r="F48" s="26"/>
    </row>
    <row r="49" customFormat="false" ht="15" hidden="false" customHeight="false" outlineLevel="0" collapsed="false">
      <c r="A49" s="25"/>
      <c r="B49" s="26"/>
      <c r="C49" s="26"/>
      <c r="D49" s="25"/>
      <c r="E49" s="25"/>
      <c r="F49" s="26"/>
    </row>
    <row r="50" customFormat="false" ht="15" hidden="false" customHeight="false" outlineLevel="0" collapsed="false">
      <c r="A50" s="25"/>
      <c r="B50" s="26"/>
      <c r="C50" s="26"/>
      <c r="D50" s="25"/>
      <c r="E50" s="25"/>
      <c r="F50" s="26"/>
    </row>
    <row r="51" customFormat="false" ht="15" hidden="false" customHeight="false" outlineLevel="0" collapsed="false">
      <c r="A51" s="25"/>
      <c r="B51" s="26"/>
      <c r="C51" s="26"/>
      <c r="D51" s="25"/>
      <c r="E51" s="25"/>
      <c r="F51" s="26"/>
    </row>
    <row r="52" customFormat="false" ht="15" hidden="false" customHeight="false" outlineLevel="0" collapsed="false">
      <c r="A52" s="25"/>
      <c r="B52" s="26"/>
      <c r="C52" s="26"/>
      <c r="D52" s="25"/>
      <c r="E52" s="25"/>
      <c r="F52" s="26"/>
    </row>
    <row r="53" customFormat="false" ht="15" hidden="false" customHeight="false" outlineLevel="0" collapsed="false">
      <c r="A53" s="25"/>
      <c r="B53" s="26"/>
      <c r="C53" s="26"/>
      <c r="D53" s="25"/>
      <c r="E53" s="25"/>
      <c r="F53" s="26"/>
    </row>
    <row r="54" customFormat="false" ht="15" hidden="false" customHeight="false" outlineLevel="0" collapsed="false">
      <c r="A54" s="25"/>
      <c r="B54" s="26"/>
      <c r="C54" s="26"/>
      <c r="D54" s="25"/>
      <c r="E54" s="25"/>
      <c r="F54" s="26"/>
    </row>
    <row r="55" customFormat="false" ht="15" hidden="false" customHeight="false" outlineLevel="0" collapsed="false">
      <c r="A55" s="25"/>
      <c r="B55" s="26"/>
      <c r="C55" s="26"/>
      <c r="D55" s="25"/>
      <c r="E55" s="25"/>
      <c r="F55" s="26"/>
    </row>
    <row r="56" customFormat="false" ht="15" hidden="false" customHeight="false" outlineLevel="0" collapsed="false">
      <c r="A56" s="25"/>
      <c r="B56" s="26"/>
      <c r="C56" s="26"/>
      <c r="D56" s="25"/>
      <c r="E56" s="25"/>
      <c r="F56" s="26"/>
    </row>
    <row r="57" customFormat="false" ht="15" hidden="false" customHeight="false" outlineLevel="0" collapsed="false">
      <c r="A57" s="25"/>
      <c r="B57" s="26"/>
      <c r="C57" s="26"/>
      <c r="D57" s="25"/>
      <c r="E57" s="25"/>
      <c r="F57" s="26"/>
    </row>
    <row r="58" customFormat="false" ht="15" hidden="false" customHeight="false" outlineLevel="0" collapsed="false">
      <c r="A58" s="25"/>
      <c r="B58" s="26"/>
      <c r="C58" s="26"/>
      <c r="D58" s="25"/>
      <c r="E58" s="25"/>
      <c r="F58" s="26"/>
    </row>
    <row r="59" customFormat="false" ht="15" hidden="false" customHeight="false" outlineLevel="0" collapsed="false">
      <c r="A59" s="25"/>
      <c r="B59" s="26"/>
      <c r="C59" s="26"/>
      <c r="D59" s="25"/>
      <c r="E59" s="25"/>
      <c r="F59" s="26"/>
    </row>
    <row r="60" customFormat="false" ht="15" hidden="false" customHeight="false" outlineLevel="0" collapsed="false">
      <c r="A60" s="25"/>
      <c r="B60" s="26"/>
      <c r="C60" s="26"/>
      <c r="D60" s="25"/>
      <c r="E60" s="25"/>
      <c r="F60" s="26"/>
    </row>
    <row r="61" customFormat="false" ht="15" hidden="false" customHeight="false" outlineLevel="0" collapsed="false">
      <c r="A61" s="25"/>
      <c r="B61" s="26"/>
      <c r="C61" s="26"/>
      <c r="D61" s="25"/>
      <c r="E61" s="25"/>
      <c r="F61" s="26"/>
    </row>
    <row r="62" customFormat="false" ht="15" hidden="false" customHeight="false" outlineLevel="0" collapsed="false">
      <c r="A62" s="25"/>
      <c r="B62" s="26"/>
      <c r="C62" s="26"/>
      <c r="D62" s="25"/>
      <c r="E62" s="25"/>
      <c r="F62" s="26"/>
    </row>
    <row r="63" customFormat="false" ht="15" hidden="false" customHeight="false" outlineLevel="0" collapsed="false">
      <c r="A63" s="25"/>
      <c r="B63" s="26"/>
      <c r="C63" s="26"/>
      <c r="D63" s="25"/>
      <c r="E63" s="25"/>
      <c r="F63" s="26"/>
    </row>
    <row r="64" customFormat="false" ht="15" hidden="false" customHeight="false" outlineLevel="0" collapsed="false">
      <c r="A64" s="25"/>
      <c r="B64" s="26"/>
      <c r="C64" s="26"/>
      <c r="D64" s="25"/>
      <c r="E64" s="25"/>
      <c r="F64" s="26"/>
    </row>
    <row r="65" customFormat="false" ht="15" hidden="false" customHeight="false" outlineLevel="0" collapsed="false">
      <c r="A65" s="25"/>
      <c r="B65" s="26"/>
      <c r="C65" s="26"/>
      <c r="D65" s="25"/>
      <c r="E65" s="25"/>
      <c r="F65" s="26"/>
    </row>
    <row r="66" customFormat="false" ht="15" hidden="false" customHeight="false" outlineLevel="0" collapsed="false">
      <c r="A66" s="25"/>
      <c r="B66" s="26"/>
      <c r="C66" s="26"/>
      <c r="D66" s="25"/>
      <c r="E66" s="25"/>
      <c r="F66" s="26"/>
    </row>
    <row r="67" customFormat="false" ht="15" hidden="false" customHeight="false" outlineLevel="0" collapsed="false">
      <c r="A67" s="25"/>
      <c r="B67" s="26"/>
      <c r="C67" s="26"/>
      <c r="D67" s="25"/>
      <c r="E67" s="25"/>
      <c r="F67" s="26"/>
    </row>
    <row r="68" customFormat="false" ht="15" hidden="false" customHeight="false" outlineLevel="0" collapsed="false">
      <c r="A68" s="25"/>
      <c r="B68" s="26"/>
      <c r="C68" s="26"/>
      <c r="D68" s="25"/>
      <c r="E68" s="25"/>
      <c r="F68" s="26"/>
    </row>
    <row r="69" customFormat="false" ht="15" hidden="false" customHeight="false" outlineLevel="0" collapsed="false">
      <c r="A69" s="25"/>
      <c r="B69" s="26"/>
      <c r="C69" s="26"/>
      <c r="D69" s="25"/>
      <c r="E69" s="25"/>
      <c r="F69" s="26"/>
    </row>
    <row r="70" customFormat="false" ht="15" hidden="false" customHeight="false" outlineLevel="0" collapsed="false">
      <c r="A70" s="25"/>
      <c r="B70" s="26"/>
      <c r="C70" s="26"/>
      <c r="D70" s="25"/>
      <c r="E70" s="25"/>
      <c r="F70" s="26"/>
    </row>
    <row r="71" customFormat="false" ht="15" hidden="false" customHeight="false" outlineLevel="0" collapsed="false">
      <c r="A71" s="25"/>
      <c r="B71" s="26"/>
      <c r="C71" s="26"/>
      <c r="D71" s="25"/>
      <c r="E71" s="25"/>
      <c r="F71" s="26"/>
    </row>
    <row r="72" customFormat="false" ht="15" hidden="false" customHeight="false" outlineLevel="0" collapsed="false">
      <c r="A72" s="25"/>
      <c r="B72" s="26"/>
      <c r="C72" s="26"/>
      <c r="D72" s="25"/>
      <c r="E72" s="25"/>
      <c r="F72" s="26"/>
    </row>
    <row r="73" customFormat="false" ht="15" hidden="false" customHeight="false" outlineLevel="0" collapsed="false">
      <c r="A73" s="25"/>
      <c r="B73" s="26"/>
      <c r="C73" s="26"/>
      <c r="D73" s="25"/>
      <c r="E73" s="25"/>
      <c r="F73" s="26"/>
    </row>
    <row r="74" customFormat="false" ht="15" hidden="false" customHeight="false" outlineLevel="0" collapsed="false">
      <c r="A74" s="25"/>
      <c r="B74" s="26"/>
      <c r="C74" s="26"/>
      <c r="D74" s="25"/>
      <c r="E74" s="25"/>
      <c r="F74" s="26"/>
    </row>
    <row r="75" customFormat="false" ht="15" hidden="false" customHeight="false" outlineLevel="0" collapsed="false">
      <c r="A75" s="25"/>
      <c r="B75" s="26"/>
      <c r="C75" s="26"/>
      <c r="D75" s="25"/>
      <c r="E75" s="25"/>
      <c r="F75" s="26"/>
    </row>
    <row r="76" customFormat="false" ht="15" hidden="false" customHeight="false" outlineLevel="0" collapsed="false">
      <c r="A76" s="25"/>
      <c r="B76" s="26"/>
      <c r="C76" s="26"/>
      <c r="D76" s="25"/>
      <c r="E76" s="25"/>
      <c r="F76" s="26"/>
    </row>
    <row r="77" customFormat="false" ht="15" hidden="false" customHeight="false" outlineLevel="0" collapsed="false">
      <c r="A77" s="25"/>
      <c r="B77" s="26"/>
      <c r="C77" s="26"/>
      <c r="D77" s="25"/>
      <c r="E77" s="25"/>
      <c r="F77" s="26"/>
    </row>
    <row r="78" customFormat="false" ht="15" hidden="false" customHeight="false" outlineLevel="0" collapsed="false">
      <c r="A78" s="25"/>
      <c r="B78" s="26"/>
      <c r="C78" s="26"/>
      <c r="D78" s="25"/>
      <c r="E78" s="25"/>
      <c r="F78" s="26"/>
    </row>
    <row r="79" customFormat="false" ht="15" hidden="false" customHeight="false" outlineLevel="0" collapsed="false">
      <c r="A79" s="25"/>
      <c r="B79" s="26"/>
      <c r="C79" s="26"/>
      <c r="D79" s="25"/>
      <c r="E79" s="25"/>
      <c r="F79" s="26"/>
    </row>
    <row r="80" customFormat="false" ht="15" hidden="false" customHeight="false" outlineLevel="0" collapsed="false">
      <c r="A80" s="25"/>
      <c r="B80" s="26"/>
      <c r="C80" s="26"/>
      <c r="D80" s="25"/>
      <c r="E80" s="25"/>
      <c r="F80" s="26"/>
    </row>
  </sheetData>
  <conditionalFormatting sqref="E5:E80">
    <cfRule type="cellIs" priority="2" operator="equal" aboveAverage="0" equalAverage="0" bottom="0" percent="0" rank="0" text="" dxfId="0">
      <formula>"Hecho"</formula>
    </cfRule>
    <cfRule type="cellIs" priority="3" operator="equal" aboveAverage="0" equalAverage="0" bottom="0" percent="0" rank="0" text="" dxfId="1">
      <formula>"En curso"</formula>
    </cfRule>
    <cfRule type="cellIs" priority="4" operator="equal" aboveAverage="0" equalAverage="0" bottom="0" percent="0" rank="0" text="" dxfId="2">
      <formula>"Pendiente"</formula>
    </cfRule>
  </conditionalFormatting>
  <dataValidations count="2">
    <dataValidation allowBlank="true" errorStyle="stop" operator="between" showDropDown="false" showErrorMessage="false" showInputMessage="false" sqref="E5:E80" type="list">
      <formula1>"Pendiente,En curso,Hecho"</formula1>
      <formula2>0</formula2>
    </dataValidation>
    <dataValidation allowBlank="true" errorStyle="stop" operator="between" showDropDown="false" showErrorMessage="false" showInputMessage="false" sqref="D5:D80" type="list">
      <formula1>"Número 1,Número 2,Número 3,Todos"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2026-10-28T13:11:03Z</dcterms:created>
  <dc:creator>openpyxl</dc:creator>
  <dc:description/>
  <dc:language>en-US</dc:language>
  <cp:lastModifiedBy/>
  <dcterms:modified xsi:type="dcterms:W3CDTF">2026-10-28T13:11:08Z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